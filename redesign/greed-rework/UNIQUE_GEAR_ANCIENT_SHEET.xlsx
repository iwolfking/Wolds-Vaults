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ver\wv_decompile\"/>
    </mc:Choice>
  </mc:AlternateContent>
  <xr:revisionPtr revIDLastSave="0" documentId="11_5134A250914952AE692708F4445DCE3A7747DB64" xr6:coauthVersionLast="47" xr6:coauthVersionMax="47" xr10:uidLastSave="{00000000-0000-0000-0000-000000000000}"/>
  <bookViews>
    <workbookView xWindow="2420" yWindow="2230" windowWidth="19200" windowHeight="11170" xr2:uid="{00000000-000D-0000-FFFF-FFFF00000000}"/>
  </bookViews>
  <sheets>
    <sheet name="Uniq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8" i="1" l="1"/>
  <c r="H268" i="1"/>
  <c r="I267" i="1"/>
  <c r="H267" i="1"/>
  <c r="I266" i="1"/>
  <c r="H266" i="1"/>
  <c r="I265" i="1"/>
  <c r="H265" i="1"/>
  <c r="I264" i="1"/>
  <c r="H264" i="1"/>
  <c r="H261" i="1"/>
  <c r="I260" i="1"/>
  <c r="H260" i="1"/>
  <c r="H257" i="1"/>
  <c r="H256" i="1"/>
  <c r="H255" i="1"/>
  <c r="H254" i="1"/>
  <c r="I253" i="1"/>
  <c r="H253" i="1"/>
  <c r="H250" i="1"/>
  <c r="I249" i="1"/>
  <c r="H249" i="1"/>
  <c r="H246" i="1"/>
  <c r="H245" i="1"/>
  <c r="H244" i="1"/>
  <c r="H243" i="1"/>
  <c r="H242" i="1"/>
  <c r="I241" i="1"/>
  <c r="H241" i="1"/>
  <c r="I238" i="1"/>
  <c r="H238" i="1"/>
  <c r="I237" i="1"/>
  <c r="H237" i="1"/>
  <c r="I236" i="1"/>
  <c r="H236" i="1"/>
  <c r="H235" i="1"/>
  <c r="I234" i="1"/>
  <c r="H234" i="1"/>
  <c r="I233" i="1"/>
  <c r="H233" i="1"/>
  <c r="I232" i="1"/>
  <c r="H232" i="1"/>
  <c r="I228" i="1"/>
  <c r="H228" i="1"/>
  <c r="H225" i="1"/>
  <c r="I224" i="1"/>
  <c r="H224" i="1"/>
  <c r="I221" i="1"/>
  <c r="H221" i="1"/>
  <c r="I220" i="1"/>
  <c r="H220" i="1"/>
  <c r="I218" i="1"/>
  <c r="H218" i="1"/>
  <c r="I217" i="1"/>
  <c r="H217" i="1"/>
  <c r="I214" i="1"/>
  <c r="H214" i="1"/>
  <c r="I213" i="1"/>
  <c r="H213" i="1"/>
  <c r="H212" i="1"/>
  <c r="I211" i="1"/>
  <c r="H211" i="1"/>
  <c r="I210" i="1"/>
  <c r="H210" i="1"/>
  <c r="I207" i="1"/>
  <c r="H207" i="1"/>
  <c r="I206" i="1"/>
  <c r="H206" i="1"/>
  <c r="I205" i="1"/>
  <c r="H205" i="1"/>
  <c r="H204" i="1"/>
  <c r="I203" i="1"/>
  <c r="H203" i="1"/>
  <c r="H200" i="1"/>
  <c r="I199" i="1"/>
  <c r="H199" i="1"/>
  <c r="I198" i="1"/>
  <c r="H198" i="1"/>
  <c r="I197" i="1"/>
  <c r="H197" i="1"/>
  <c r="I196" i="1"/>
  <c r="H196" i="1"/>
  <c r="I193" i="1"/>
  <c r="H193" i="1"/>
  <c r="I191" i="1"/>
  <c r="H191" i="1"/>
  <c r="I190" i="1"/>
  <c r="H190" i="1"/>
  <c r="I187" i="1"/>
  <c r="H187" i="1"/>
  <c r="I186" i="1"/>
  <c r="H186" i="1"/>
  <c r="I185" i="1"/>
  <c r="H185" i="1"/>
  <c r="I184" i="1"/>
  <c r="H184" i="1"/>
  <c r="I181" i="1"/>
  <c r="H181" i="1"/>
  <c r="I180" i="1"/>
  <c r="H180" i="1"/>
  <c r="H179" i="1"/>
  <c r="I178" i="1"/>
  <c r="H178" i="1"/>
  <c r="I177" i="1"/>
  <c r="H177" i="1"/>
  <c r="I176" i="1"/>
  <c r="H176" i="1"/>
  <c r="I173" i="1"/>
  <c r="H173" i="1"/>
  <c r="H172" i="1"/>
  <c r="I171" i="1"/>
  <c r="H171" i="1"/>
  <c r="I168" i="1"/>
  <c r="H168" i="1"/>
  <c r="I167" i="1"/>
  <c r="H167" i="1"/>
  <c r="I166" i="1"/>
  <c r="H166" i="1"/>
  <c r="I165" i="1"/>
  <c r="H165" i="1"/>
  <c r="H162" i="1"/>
  <c r="I161" i="1"/>
  <c r="H161" i="1"/>
  <c r="I160" i="1"/>
  <c r="H160" i="1"/>
  <c r="I159" i="1"/>
  <c r="H159" i="1"/>
  <c r="H156" i="1"/>
  <c r="I155" i="1"/>
  <c r="H155" i="1"/>
  <c r="H154" i="1"/>
  <c r="I152" i="1"/>
  <c r="H152" i="1"/>
  <c r="I151" i="1"/>
  <c r="H151" i="1"/>
  <c r="I148" i="1"/>
  <c r="H148" i="1"/>
  <c r="H147" i="1"/>
  <c r="I146" i="1"/>
  <c r="H146" i="1"/>
  <c r="I145" i="1"/>
  <c r="H145" i="1"/>
  <c r="I144" i="1"/>
  <c r="H144" i="1"/>
  <c r="I143" i="1"/>
  <c r="H143" i="1"/>
  <c r="I140" i="1"/>
  <c r="H140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H130" i="1"/>
  <c r="H129" i="1"/>
  <c r="I128" i="1"/>
  <c r="H128" i="1"/>
  <c r="I127" i="1"/>
  <c r="H127" i="1"/>
  <c r="I126" i="1"/>
  <c r="H126" i="1"/>
  <c r="I125" i="1"/>
  <c r="H125" i="1"/>
  <c r="I124" i="1"/>
  <c r="H124" i="1"/>
  <c r="I122" i="1"/>
  <c r="H122" i="1"/>
  <c r="I119" i="1"/>
  <c r="H119" i="1"/>
  <c r="I118" i="1"/>
  <c r="H118" i="1"/>
  <c r="I117" i="1"/>
  <c r="H117" i="1"/>
  <c r="I116" i="1"/>
  <c r="H116" i="1"/>
  <c r="H113" i="1"/>
  <c r="H112" i="1"/>
  <c r="I111" i="1"/>
  <c r="H111" i="1"/>
  <c r="I110" i="1"/>
  <c r="H110" i="1"/>
  <c r="I109" i="1"/>
  <c r="H109" i="1"/>
  <c r="I106" i="1"/>
  <c r="H106" i="1"/>
  <c r="I105" i="1"/>
  <c r="H105" i="1"/>
  <c r="I104" i="1"/>
  <c r="H104" i="1"/>
  <c r="I103" i="1"/>
  <c r="H103" i="1"/>
  <c r="H102" i="1"/>
  <c r="I101" i="1"/>
  <c r="H101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88" i="1"/>
  <c r="H88" i="1"/>
  <c r="I87" i="1"/>
  <c r="H87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7" i="1"/>
  <c r="H77" i="1"/>
  <c r="I76" i="1"/>
  <c r="H76" i="1"/>
  <c r="I75" i="1"/>
  <c r="H75" i="1"/>
  <c r="H74" i="1"/>
  <c r="I73" i="1"/>
  <c r="H73" i="1"/>
  <c r="I72" i="1"/>
  <c r="H72" i="1"/>
  <c r="I69" i="1"/>
  <c r="H69" i="1"/>
  <c r="I68" i="1"/>
  <c r="H68" i="1"/>
  <c r="I67" i="1"/>
  <c r="H67" i="1"/>
  <c r="H66" i="1"/>
  <c r="I65" i="1"/>
  <c r="H65" i="1"/>
  <c r="I64" i="1"/>
  <c r="H64" i="1"/>
  <c r="I61" i="1"/>
  <c r="H61" i="1"/>
  <c r="I60" i="1"/>
  <c r="H60" i="1"/>
  <c r="I59" i="1"/>
  <c r="H59" i="1"/>
  <c r="I58" i="1"/>
  <c r="H58" i="1"/>
  <c r="I57" i="1"/>
  <c r="H57" i="1"/>
  <c r="H54" i="1"/>
  <c r="I53" i="1"/>
  <c r="H53" i="1"/>
  <c r="I52" i="1"/>
  <c r="H52" i="1"/>
  <c r="I51" i="1"/>
  <c r="H51" i="1"/>
  <c r="I50" i="1"/>
  <c r="H50" i="1"/>
  <c r="I49" i="1"/>
  <c r="H49" i="1"/>
  <c r="H46" i="1"/>
  <c r="I44" i="1"/>
  <c r="H44" i="1"/>
  <c r="I43" i="1"/>
  <c r="H43" i="1"/>
  <c r="I42" i="1"/>
  <c r="H42" i="1"/>
  <c r="I41" i="1"/>
  <c r="H41" i="1"/>
  <c r="I40" i="1"/>
  <c r="H40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0" i="1"/>
  <c r="H10" i="1"/>
  <c r="I9" i="1"/>
  <c r="H9" i="1"/>
  <c r="I8" i="1"/>
  <c r="H8" i="1"/>
  <c r="I7" i="1"/>
  <c r="H7" i="1"/>
  <c r="I6" i="1"/>
  <c r="H6" i="1"/>
  <c r="I5" i="1"/>
  <c r="H5" i="1"/>
</calcChain>
</file>

<file path=xl/sharedStrings.xml><?xml version="1.0" encoding="utf-8"?>
<sst xmlns="http://schemas.openxmlformats.org/spreadsheetml/2006/main" count="508" uniqueCount="180">
  <si>
    <t>Unique</t>
  </si>
  <si>
    <t>Slot</t>
  </si>
  <si>
    <t>Modifier (attribute)</t>
  </si>
  <si>
    <t>Base Min</t>
  </si>
  <si>
    <t>Base Max</t>
  </si>
  <si>
    <t>Ancient Variant</t>
  </si>
  <si>
    <t>Ancient Min</t>
  </si>
  <si>
    <t>Ancient Max</t>
  </si>
  <si>
    <t>Base Min/Max = top natural roll bracket at item level 100 (from gear_modifiers/unique.json). Ancient Min = Base Max (formula); Ancient Max = Base Max + 33% of its magnitude (formula; negatives move toward 0). Edit Base Min/Max or overwrite Ancient Min/Max freely - formulas recalc from Base Max. Yellow cells = review by hand (non-numeric value, or modifier that never rolls). Source: Wolds-Vaults config, compiled 2026-08-05.</t>
  </si>
  <si>
    <t>Crystal Double Blade (sword)</t>
  </si>
  <si>
    <t>Ancient Crystal Double Blade</t>
  </si>
  <si>
    <t>BASE_ATTRIBUTE</t>
  </si>
  <si>
    <t>durability</t>
  </si>
  <si>
    <t>IMPLICIT</t>
  </si>
  <si>
    <t>attack_damage</t>
  </si>
  <si>
    <t>attack_speed</t>
  </si>
  <si>
    <t>PREFIX</t>
  </si>
  <si>
    <t>ability_power</t>
  </si>
  <si>
    <t>SUFFIX</t>
  </si>
  <si>
    <t>attack_range</t>
  </si>
  <si>
    <t>attack_speed_percent</t>
  </si>
  <si>
    <t>Honey Stick (sword)</t>
  </si>
  <si>
    <t>Ancient Honey Stick</t>
  </si>
  <si>
    <t>sweeping_hit_damage</t>
  </si>
  <si>
    <t>shocking_hit_chance</t>
  </si>
  <si>
    <t>on_hit_stun</t>
  </si>
  <si>
    <t>Inflated Justice (sword)</t>
  </si>
  <si>
    <t>Ancient Inflated Justice</t>
  </si>
  <si>
    <t>damage_baby</t>
  </si>
  <si>
    <t>on_hit_aoe</t>
  </si>
  <si>
    <t>Iskallibur (sword)</t>
  </si>
  <si>
    <t>Ancient Iskallibur</t>
  </si>
  <si>
    <t>relentless_strike</t>
  </si>
  <si>
    <t>Butcher's Axe (axe)</t>
  </si>
  <si>
    <t>Ancient Butcher's Axe</t>
  </si>
  <si>
    <t>double_hit_chance</t>
  </si>
  <si>
    <t>unique_rampage_level</t>
  </si>
  <si>
    <t>never rolls (identifier missing from unique.json)</t>
  </si>
  <si>
    <t>on_kill_heal</t>
  </si>
  <si>
    <t>{"chance": {"min": 0.05, "max": 0.2, "step": 0.01}, "amount": {"min": 2.0, "max": 2.0, "step": 0.0}}</t>
  </si>
  <si>
    <t>Starforge (axe)</t>
  </si>
  <si>
    <t>Ancient Starforge</t>
  </si>
  <si>
    <t>arcane_nova_on_hit</t>
  </si>
  <si>
    <t>{"hitsRequired": {"min": 6, "max": 10, "step": 1}, "radius": {"min": 3.0, "max": 6.0, "step": 1}, "percentAbilityPower": {"min": 0.5, "max": 2.0, "step": 0.05}}</t>
  </si>
  <si>
    <t>Jester Hat (helmet)</t>
  </si>
  <si>
    <t>Ancient Jester Hat</t>
  </si>
  <si>
    <t>armor</t>
  </si>
  <si>
    <t>lucky_hit_chance</t>
  </si>
  <si>
    <t>item_rarity</t>
  </si>
  <si>
    <t>jester_lucky_hit_chance_percentile</t>
  </si>
  <si>
    <t>Stormcrown (helmet)</t>
  </si>
  <si>
    <t>Ancient Stormcrown</t>
  </si>
  <si>
    <t>added_ability_level</t>
  </si>
  <si>
    <t>{"abilityKey": "Storm_Arrow_Base", "levelChange": 2}</t>
  </si>
  <si>
    <t>ability_area_of_effect_percent</t>
  </si>
  <si>
    <t>ability_cooldown_percent</t>
  </si>
  <si>
    <t>mana_regen</t>
  </si>
  <si>
    <t>Helm of the Warbound (helmet)</t>
  </si>
  <si>
    <t>Ancient Helm of the Warbound</t>
  </si>
  <si>
    <t>{"abilityKey": "Javelin_Scatter", "levelChange": 3}</t>
  </si>
  <si>
    <t>damage_increase</t>
  </si>
  <si>
    <t>cooldown_reduction</t>
  </si>
  <si>
    <t>Ann-Mari (chestplate)</t>
  </si>
  <si>
    <t>Ancient Ann-Mari</t>
  </si>
  <si>
    <t>critical_hit_mitigation</t>
  </si>
  <si>
    <t>health</t>
  </si>
  <si>
    <t>{"abilityKey": "Heal_Group", "levelChange": 2}</t>
  </si>
  <si>
    <t>phoenix</t>
  </si>
  <si>
    <t>The Castle (chestplate)</t>
  </si>
  <si>
    <t>Ancient The Castle</t>
  </si>
  <si>
    <t>resistance</t>
  </si>
  <si>
    <t>knockback_resistance</t>
  </si>
  <si>
    <t>castle_bastion</t>
  </si>
  <si>
    <t>Crystal Plate (chestplate)</t>
  </si>
  <si>
    <t>Ancient Crystal Plate</t>
  </si>
  <si>
    <t>{"levelChange": 2, "abilityKey": "all_abilities"}</t>
  </si>
  <si>
    <t>area_of_effect</t>
  </si>
  <si>
    <t>Frozen Throne (chestplate)</t>
  </si>
  <si>
    <t>Ancient Frozen Throne</t>
  </si>
  <si>
    <t>{"abilityKey": "Nova_Slow", "levelChange": 2}</t>
  </si>
  <si>
    <t>ability_on_damage</t>
  </si>
  <si>
    <t>{"abilityId": "Nova_Slow", "chance": {"min": 0.05, "max": 0.2, "step": 0.01}, "level": {"min": 2, "max": 7, "step": 1}}</t>
  </si>
  <si>
    <t>The Sweetheart (chestplate)</t>
  </si>
  <si>
    <t>Ancient The Sweetheart</t>
  </si>
  <si>
    <t>Vitalis Plate (chestplate)</t>
  </si>
  <si>
    <t>Ancient Vitalis Plate</t>
  </si>
  <si>
    <t>base_block_chance</t>
  </si>
  <si>
    <t>{"abilityKey": "Heal_Base", "levelChange": 2}</t>
  </si>
  <si>
    <t>block_heal</t>
  </si>
  <si>
    <t>{"chance": {"min": 0.2, "max": 0.5, "step": 0.05}, "amount": {"min": 2.0, "max": 2.0, "step": 0.0}}</t>
  </si>
  <si>
    <t>Crashguards (leggings)</t>
  </si>
  <si>
    <t>Ancient Crashguards</t>
  </si>
  <si>
    <t>mana_additive</t>
  </si>
  <si>
    <t>kinetic_immunity</t>
  </si>
  <si>
    <t>{"flag": true}</t>
  </si>
  <si>
    <t>Swarmwalkers (leggings)</t>
  </si>
  <si>
    <t>Ancient Swarmwalkers</t>
  </si>
  <si>
    <t>movement_speed</t>
  </si>
  <si>
    <t>effect_list_avoidance</t>
  </si>
  <si>
    <t>{"effectKeys": ["minecraft:poison", "minecraft:wither", "minecraft:levitation", "minecraft:slowness", "minecraft:blindness", "minecraft:hunger", "the_vault:bleed"], "name": "the_vault.gear_attribute.effect_avoidance.avoidance.bad_effects", "minChance": 0.71, "maxChance": 1.0, "step": 0.01}</t>
  </si>
  <si>
    <t>Frostguards (boots)</t>
  </si>
  <si>
    <t>Ancient Frostguards</t>
  </si>
  <si>
    <t>base_movement</t>
  </si>
  <si>
    <t>{"abilityKey": "Stonefall_Cold", "levelChange": 1}</t>
  </si>
  <si>
    <t>effect_trail</t>
  </si>
  <si>
    <t>{"effectId": "the_vault:chilled", "durationTicks": {"min": 60, "max": 160, "step": 20}}</t>
  </si>
  <si>
    <t>Pacifist Sandals (boots)</t>
  </si>
  <si>
    <t>Ancient Pacifist Sandals</t>
  </si>
  <si>
    <t>{"abilityKey": "Empower_Slowness_Aura", "levelChange": 1}</t>
  </si>
  <si>
    <t>Gladiator's Buckler (shield)</t>
  </si>
  <si>
    <t>Ancient Gladiator's Buckler</t>
  </si>
  <si>
    <t>block</t>
  </si>
  <si>
    <t>third_attack</t>
  </si>
  <si>
    <t>Grim Shield (shield)</t>
  </si>
  <si>
    <t>Ancient Grim Shield</t>
  </si>
  <si>
    <t>{"abilityKey": "Taunt_Repel", "levelChange": 8}</t>
  </si>
  <si>
    <t>Rosethorn Ivy (shield)</t>
  </si>
  <si>
    <t>Ancient Rosethorn Ivy</t>
  </si>
  <si>
    <t>thorns_damage_flat</t>
  </si>
  <si>
    <t>lucky_thorns</t>
  </si>
  <si>
    <t>Pestilence Wall (shield)</t>
  </si>
  <si>
    <t>Ancient Pestilence Wall</t>
  </si>
  <si>
    <t>ability_special_modification</t>
  </si>
  <si>
    <t>Frostwarden (shield)</t>
  </si>
  <si>
    <t>Ancient Frostwarden</t>
  </si>
  <si>
    <t>unique_ice_bolt_level</t>
  </si>
  <si>
    <t>block_glacial_prison</t>
  </si>
  <si>
    <t>The Broodmother (shield)</t>
  </si>
  <si>
    <t>Ancient The Broodmother</t>
  </si>
  <si>
    <t>broodmother_web</t>
  </si>
  <si>
    <t>{"chance": {"min": 0.2, "max": 0.7, "step": 0.05}, "percentAttackDamage": {"min": 0.6, "max": 1.2, "step": 0.05}}</t>
  </si>
  <si>
    <t>Ender Rings (focus)</t>
  </si>
  <si>
    <t>Ancient Ender Rings</t>
  </si>
  <si>
    <t>{"abilityKey": "Dash_Warp", "levelChange": 1}</t>
  </si>
  <si>
    <t>warp_projectile_speed</t>
  </si>
  <si>
    <t>Frozen Orb (focus)</t>
  </si>
  <si>
    <t>Ancient Frozen Orb</t>
  </si>
  <si>
    <t>Echoflare (focus)</t>
  </si>
  <si>
    <t>Ancient Echoflare</t>
  </si>
  <si>
    <t>unique_dash_level</t>
  </si>
  <si>
    <t>ability_cooldown_skip</t>
  </si>
  <si>
    <t>The Baguette (wand)</t>
  </si>
  <si>
    <t>Ancient The Baguette</t>
  </si>
  <si>
    <t>effect</t>
  </si>
  <si>
    <t>{"effectKey": "minecraft:saturation", "amplifier": 1}</t>
  </si>
  <si>
    <t>Chainlash (wand)</t>
  </si>
  <si>
    <t>Ancient Chainlash</t>
  </si>
  <si>
    <t>mod_on_hit_chain</t>
  </si>
  <si>
    <t>Inferno's Reach (wand)</t>
  </si>
  <si>
    <t>Ancient Inferno's Reach</t>
  </si>
  <si>
    <t>ability_power_percent</t>
  </si>
  <si>
    <t>{"abilityKey": "Fireball_Base", "levelChange": 2}</t>
  </si>
  <si>
    <t>Kaleidoscope (jewel)</t>
  </si>
  <si>
    <t>Ancient Kaleidoscope</t>
  </si>
  <si>
    <t>jewel_size</t>
  </si>
  <si>
    <t>wooden_affinity</t>
  </si>
  <si>
    <t>coin_affinity</t>
  </si>
  <si>
    <t>gilded_affinity</t>
  </si>
  <si>
    <t>ornate_affinity</t>
  </si>
  <si>
    <t>living_affinity</t>
  </si>
  <si>
    <t>Manabloom (jewel)</t>
  </si>
  <si>
    <t>Ancient Manabloom</t>
  </si>
  <si>
    <t>mana_per_looted_tile</t>
  </si>
  <si>
    <t>{"tileEntityGroupId": "the_vault:chest", "displayName": "Chests", "manaGenerationChance": {"min": 0.2, "max": 0.6, "step": 0.01}, "manaGenerated": {"min": 1, "max": 3, "step": 1}}</t>
  </si>
  <si>
    <t>Pax (jewel)</t>
  </si>
  <si>
    <t>Ancient Pax</t>
  </si>
  <si>
    <t>picking</t>
  </si>
  <si>
    <t>axing</t>
  </si>
  <si>
    <t>shovelling</t>
  </si>
  <si>
    <t>reaping</t>
  </si>
  <si>
    <t>Frozen Heart (jewel)</t>
  </si>
  <si>
    <t>Ancient Frozen Heart</t>
  </si>
  <si>
    <t>ability_cast_on_loot</t>
  </si>
  <si>
    <t>{"abilityId": "Nova_Slow", "tileEntityGroupId": "the_vault:chest", "displayName": "Omega Chest", "chance": {"min": 0.05, "max": 0.2, "step": 0.05}, "level": {"min": 4, "max": 8, "step": 1}}</t>
  </si>
  <si>
    <t>Quickstone (magnet)</t>
  </si>
  <si>
    <t>Ancient Quickstone</t>
  </si>
  <si>
    <t>range</t>
  </si>
  <si>
    <t>velocity</t>
  </si>
  <si>
    <t>copiously</t>
  </si>
  <si>
    <t>mining_speed_percent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</si>
</sst>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i/>
      <sz val="9"/>
      <color rgb="FF666666"/>
      <name val="Arial"/>
    </font>
    <font>
      <b/>
      <sz val="10"/>
      <color rgb="FF7D520E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3" borderId="0" xfId="0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8"/>
  <sheetViews>
    <sheetView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" customWidth="1"/>
    <col min="2" max="2" width="16" customWidth="1"/>
    <col min="3" max="3" width="38" customWidth="1"/>
    <col min="4" max="5" width="14" customWidth="1"/>
    <col min="6" max="6" width="3" customWidth="1"/>
    <col min="7" max="7" width="30" customWidth="1"/>
    <col min="8" max="9" width="1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" t="s">
        <v>6</v>
      </c>
      <c r="I1" s="1" t="s">
        <v>7</v>
      </c>
    </row>
    <row r="2" spans="1:9" x14ac:dyDescent="0.35">
      <c r="A2" s="7" t="s">
        <v>8</v>
      </c>
      <c r="B2" s="8"/>
      <c r="C2" s="8"/>
      <c r="D2" s="8"/>
      <c r="E2" s="8"/>
      <c r="F2" s="8"/>
      <c r="G2" s="8"/>
      <c r="H2" s="8"/>
      <c r="I2" s="8"/>
    </row>
    <row r="4" spans="1:9" x14ac:dyDescent="0.35">
      <c r="A4" s="2" t="s">
        <v>9</v>
      </c>
      <c r="G4" s="3" t="s">
        <v>10</v>
      </c>
    </row>
    <row r="5" spans="1:9" x14ac:dyDescent="0.35">
      <c r="B5" s="4" t="s">
        <v>11</v>
      </c>
      <c r="C5" s="4" t="s">
        <v>12</v>
      </c>
      <c r="D5" s="4">
        <v>12339</v>
      </c>
      <c r="E5" s="4">
        <v>14538</v>
      </c>
      <c r="H5" s="4">
        <f t="shared" ref="H5:H10" si="0">E5</f>
        <v>14538</v>
      </c>
      <c r="I5" s="4">
        <f>ROUND(E5+0.33*ABS(E5),0)</f>
        <v>19336</v>
      </c>
    </row>
    <row r="6" spans="1:9" x14ac:dyDescent="0.35">
      <c r="B6" s="4" t="s">
        <v>13</v>
      </c>
      <c r="C6" s="4" t="s">
        <v>14</v>
      </c>
      <c r="D6" s="4">
        <v>90</v>
      </c>
      <c r="E6" s="4">
        <v>100</v>
      </c>
      <c r="H6" s="4">
        <f t="shared" si="0"/>
        <v>100</v>
      </c>
      <c r="I6" s="4">
        <f>ROUND(E6+0.33*ABS(E6),2)</f>
        <v>133</v>
      </c>
    </row>
    <row r="7" spans="1:9" x14ac:dyDescent="0.35">
      <c r="B7" s="4" t="s">
        <v>13</v>
      </c>
      <c r="C7" s="4" t="s">
        <v>15</v>
      </c>
      <c r="D7" s="4">
        <v>-2.29</v>
      </c>
      <c r="E7" s="4">
        <v>-2.2000000000000002</v>
      </c>
      <c r="H7" s="4">
        <f t="shared" si="0"/>
        <v>-2.2000000000000002</v>
      </c>
      <c r="I7" s="4">
        <f>ROUND(E7+0.33*ABS(E7),2)</f>
        <v>-1.47</v>
      </c>
    </row>
    <row r="8" spans="1:9" x14ac:dyDescent="0.35">
      <c r="B8" s="4" t="s">
        <v>16</v>
      </c>
      <c r="C8" s="4" t="s">
        <v>17</v>
      </c>
      <c r="D8" s="4">
        <v>45</v>
      </c>
      <c r="E8" s="4">
        <v>50</v>
      </c>
      <c r="H8" s="4">
        <f t="shared" si="0"/>
        <v>50</v>
      </c>
      <c r="I8" s="4">
        <f>ROUND(E8+0.33*ABS(E8),2)</f>
        <v>66.5</v>
      </c>
    </row>
    <row r="9" spans="1:9" x14ac:dyDescent="0.35">
      <c r="B9" s="4" t="s">
        <v>18</v>
      </c>
      <c r="C9" s="4" t="s">
        <v>19</v>
      </c>
      <c r="D9" s="4">
        <v>0.41</v>
      </c>
      <c r="E9" s="4">
        <v>0.5</v>
      </c>
      <c r="H9" s="4">
        <f t="shared" si="0"/>
        <v>0.5</v>
      </c>
      <c r="I9" s="4">
        <f>ROUND(E9+0.33*ABS(E9),2)</f>
        <v>0.67</v>
      </c>
    </row>
    <row r="10" spans="1:9" x14ac:dyDescent="0.35">
      <c r="B10" s="4" t="s">
        <v>18</v>
      </c>
      <c r="C10" s="4" t="s">
        <v>20</v>
      </c>
      <c r="D10" s="4">
        <v>0.21</v>
      </c>
      <c r="E10" s="4">
        <v>0.25</v>
      </c>
      <c r="H10" s="4">
        <f t="shared" si="0"/>
        <v>0.25</v>
      </c>
      <c r="I10" s="4">
        <f>ROUND(E10+0.33*ABS(E10),2)</f>
        <v>0.33</v>
      </c>
    </row>
    <row r="12" spans="1:9" x14ac:dyDescent="0.35">
      <c r="A12" s="2" t="s">
        <v>21</v>
      </c>
      <c r="G12" s="3" t="s">
        <v>22</v>
      </c>
    </row>
    <row r="13" spans="1:9" x14ac:dyDescent="0.35">
      <c r="B13" s="4" t="s">
        <v>11</v>
      </c>
      <c r="C13" s="4" t="s">
        <v>12</v>
      </c>
      <c r="D13" s="4">
        <v>12339</v>
      </c>
      <c r="E13" s="4">
        <v>14538</v>
      </c>
      <c r="H13" s="4">
        <f t="shared" ref="H13:H19" si="1">E13</f>
        <v>14538</v>
      </c>
      <c r="I13" s="4">
        <f>ROUND(E13+0.33*ABS(E13),0)</f>
        <v>19336</v>
      </c>
    </row>
    <row r="14" spans="1:9" x14ac:dyDescent="0.35">
      <c r="B14" s="4" t="s">
        <v>13</v>
      </c>
      <c r="C14" s="4" t="s">
        <v>14</v>
      </c>
      <c r="D14" s="4">
        <v>90</v>
      </c>
      <c r="E14" s="4">
        <v>100</v>
      </c>
      <c r="H14" s="4">
        <f t="shared" si="1"/>
        <v>100</v>
      </c>
      <c r="I14" s="4">
        <f t="shared" ref="I14:I19" si="2">ROUND(E14+0.33*ABS(E14),2)</f>
        <v>133</v>
      </c>
    </row>
    <row r="15" spans="1:9" x14ac:dyDescent="0.35">
      <c r="B15" s="4" t="s">
        <v>13</v>
      </c>
      <c r="C15" s="4" t="s">
        <v>15</v>
      </c>
      <c r="D15" s="4">
        <v>-2.29</v>
      </c>
      <c r="E15" s="4">
        <v>-2.2000000000000002</v>
      </c>
      <c r="H15" s="4">
        <f t="shared" si="1"/>
        <v>-2.2000000000000002</v>
      </c>
      <c r="I15" s="4">
        <f t="shared" si="2"/>
        <v>-1.47</v>
      </c>
    </row>
    <row r="16" spans="1:9" x14ac:dyDescent="0.35">
      <c r="B16" s="4" t="s">
        <v>13</v>
      </c>
      <c r="C16" s="4" t="s">
        <v>23</v>
      </c>
      <c r="D16" s="4">
        <v>0.71</v>
      </c>
      <c r="E16" s="4">
        <v>0.8</v>
      </c>
      <c r="H16" s="4">
        <f t="shared" si="1"/>
        <v>0.8</v>
      </c>
      <c r="I16" s="4">
        <f t="shared" si="2"/>
        <v>1.06</v>
      </c>
    </row>
    <row r="17" spans="1:9" x14ac:dyDescent="0.35">
      <c r="B17" s="4" t="s">
        <v>16</v>
      </c>
      <c r="C17" s="4" t="s">
        <v>20</v>
      </c>
      <c r="D17" s="4">
        <v>0.21</v>
      </c>
      <c r="E17" s="4">
        <v>0.25</v>
      </c>
      <c r="H17" s="4">
        <f t="shared" si="1"/>
        <v>0.25</v>
      </c>
      <c r="I17" s="4">
        <f t="shared" si="2"/>
        <v>0.33</v>
      </c>
    </row>
    <row r="18" spans="1:9" x14ac:dyDescent="0.35">
      <c r="B18" s="4" t="s">
        <v>18</v>
      </c>
      <c r="C18" s="4" t="s">
        <v>24</v>
      </c>
      <c r="D18" s="4">
        <v>0.81</v>
      </c>
      <c r="E18" s="4">
        <v>1</v>
      </c>
      <c r="H18" s="4">
        <f t="shared" si="1"/>
        <v>1</v>
      </c>
      <c r="I18" s="4">
        <f t="shared" si="2"/>
        <v>1.33</v>
      </c>
    </row>
    <row r="19" spans="1:9" x14ac:dyDescent="0.35">
      <c r="B19" s="4" t="s">
        <v>18</v>
      </c>
      <c r="C19" s="4" t="s">
        <v>25</v>
      </c>
      <c r="D19" s="4">
        <v>0.21</v>
      </c>
      <c r="E19" s="4">
        <v>0.3</v>
      </c>
      <c r="H19" s="4">
        <f t="shared" si="1"/>
        <v>0.3</v>
      </c>
      <c r="I19" s="4">
        <f t="shared" si="2"/>
        <v>0.4</v>
      </c>
    </row>
    <row r="21" spans="1:9" x14ac:dyDescent="0.35">
      <c r="A21" s="2" t="s">
        <v>26</v>
      </c>
      <c r="G21" s="3" t="s">
        <v>27</v>
      </c>
    </row>
    <row r="22" spans="1:9" x14ac:dyDescent="0.35">
      <c r="B22" s="4" t="s">
        <v>11</v>
      </c>
      <c r="C22" s="4" t="s">
        <v>12</v>
      </c>
      <c r="D22" s="4">
        <v>12339</v>
      </c>
      <c r="E22" s="4">
        <v>14538</v>
      </c>
      <c r="H22" s="4">
        <f t="shared" ref="H22:H28" si="3">E22</f>
        <v>14538</v>
      </c>
      <c r="I22" s="4">
        <f>ROUND(E22+0.33*ABS(E22),0)</f>
        <v>19336</v>
      </c>
    </row>
    <row r="23" spans="1:9" x14ac:dyDescent="0.35">
      <c r="B23" s="4" t="s">
        <v>13</v>
      </c>
      <c r="C23" s="4" t="s">
        <v>14</v>
      </c>
      <c r="D23" s="4">
        <v>90</v>
      </c>
      <c r="E23" s="4">
        <v>100</v>
      </c>
      <c r="H23" s="4">
        <f t="shared" si="3"/>
        <v>100</v>
      </c>
      <c r="I23" s="4">
        <f>ROUND(E23+0.33*ABS(E23),2)</f>
        <v>133</v>
      </c>
    </row>
    <row r="24" spans="1:9" x14ac:dyDescent="0.35">
      <c r="B24" s="4" t="s">
        <v>13</v>
      </c>
      <c r="C24" s="4" t="s">
        <v>15</v>
      </c>
      <c r="D24" s="4">
        <v>-2.29</v>
      </c>
      <c r="E24" s="4">
        <v>-2.2000000000000002</v>
      </c>
      <c r="H24" s="4">
        <f t="shared" si="3"/>
        <v>-2.2000000000000002</v>
      </c>
      <c r="I24" s="4">
        <f>ROUND(E24+0.33*ABS(E24),2)</f>
        <v>-1.47</v>
      </c>
    </row>
    <row r="25" spans="1:9" x14ac:dyDescent="0.35">
      <c r="B25" s="4" t="s">
        <v>13</v>
      </c>
      <c r="C25" s="4" t="s">
        <v>23</v>
      </c>
      <c r="D25" s="4">
        <v>0.71</v>
      </c>
      <c r="E25" s="4">
        <v>0.8</v>
      </c>
      <c r="H25" s="4">
        <f t="shared" si="3"/>
        <v>0.8</v>
      </c>
      <c r="I25" s="4">
        <f>ROUND(E25+0.33*ABS(E25),2)</f>
        <v>1.06</v>
      </c>
    </row>
    <row r="26" spans="1:9" x14ac:dyDescent="0.35">
      <c r="B26" s="4" t="s">
        <v>16</v>
      </c>
      <c r="C26" s="4" t="s">
        <v>14</v>
      </c>
      <c r="D26" s="4">
        <v>49</v>
      </c>
      <c r="E26" s="4">
        <v>55</v>
      </c>
      <c r="H26" s="4">
        <f t="shared" si="3"/>
        <v>55</v>
      </c>
      <c r="I26" s="4">
        <f>ROUND(E26+0.33*ABS(E26),2)</f>
        <v>73.150000000000006</v>
      </c>
    </row>
    <row r="27" spans="1:9" x14ac:dyDescent="0.35">
      <c r="B27" s="4" t="s">
        <v>16</v>
      </c>
      <c r="C27" s="4" t="s">
        <v>28</v>
      </c>
      <c r="D27" s="4">
        <v>0.6</v>
      </c>
      <c r="E27" s="4">
        <v>1</v>
      </c>
      <c r="H27" s="4">
        <f t="shared" si="3"/>
        <v>1</v>
      </c>
      <c r="I27" s="4">
        <f>ROUND(E27+0.33*ABS(E27),2)</f>
        <v>1.33</v>
      </c>
    </row>
    <row r="28" spans="1:9" x14ac:dyDescent="0.35">
      <c r="B28" s="4" t="s">
        <v>18</v>
      </c>
      <c r="C28" s="4" t="s">
        <v>29</v>
      </c>
      <c r="D28" s="4">
        <v>5</v>
      </c>
      <c r="E28" s="4">
        <v>5</v>
      </c>
      <c r="H28" s="4">
        <f t="shared" si="3"/>
        <v>5</v>
      </c>
      <c r="I28" s="4">
        <f>ROUND(E28+0.33*ABS(E28),0)</f>
        <v>7</v>
      </c>
    </row>
    <row r="30" spans="1:9" x14ac:dyDescent="0.35">
      <c r="A30" s="2" t="s">
        <v>30</v>
      </c>
      <c r="G30" s="3" t="s">
        <v>31</v>
      </c>
    </row>
    <row r="31" spans="1:9" x14ac:dyDescent="0.35">
      <c r="B31" s="4" t="s">
        <v>11</v>
      </c>
      <c r="C31" s="4" t="s">
        <v>12</v>
      </c>
      <c r="D31" s="4">
        <v>12339</v>
      </c>
      <c r="E31" s="4">
        <v>14538</v>
      </c>
      <c r="H31" s="4">
        <f t="shared" ref="H31:H37" si="4">E31</f>
        <v>14538</v>
      </c>
      <c r="I31" s="4">
        <f>ROUND(E31+0.33*ABS(E31),0)</f>
        <v>19336</v>
      </c>
    </row>
    <row r="32" spans="1:9" x14ac:dyDescent="0.35">
      <c r="B32" s="4" t="s">
        <v>13</v>
      </c>
      <c r="C32" s="4" t="s">
        <v>14</v>
      </c>
      <c r="D32" s="4">
        <v>90</v>
      </c>
      <c r="E32" s="4">
        <v>100</v>
      </c>
      <c r="H32" s="4">
        <f t="shared" si="4"/>
        <v>100</v>
      </c>
      <c r="I32" s="4">
        <f t="shared" ref="I32:I37" si="5">ROUND(E32+0.33*ABS(E32),2)</f>
        <v>133</v>
      </c>
    </row>
    <row r="33" spans="1:9" x14ac:dyDescent="0.35">
      <c r="B33" s="4" t="s">
        <v>13</v>
      </c>
      <c r="C33" s="4" t="s">
        <v>15</v>
      </c>
      <c r="D33" s="4">
        <v>-2.29</v>
      </c>
      <c r="E33" s="4">
        <v>-2.2000000000000002</v>
      </c>
      <c r="H33" s="4">
        <f t="shared" si="4"/>
        <v>-2.2000000000000002</v>
      </c>
      <c r="I33" s="4">
        <f t="shared" si="5"/>
        <v>-1.47</v>
      </c>
    </row>
    <row r="34" spans="1:9" x14ac:dyDescent="0.35">
      <c r="B34" s="4" t="s">
        <v>13</v>
      </c>
      <c r="C34" s="4" t="s">
        <v>23</v>
      </c>
      <c r="D34" s="4">
        <v>0.71</v>
      </c>
      <c r="E34" s="4">
        <v>0.8</v>
      </c>
      <c r="H34" s="4">
        <f t="shared" si="4"/>
        <v>0.8</v>
      </c>
      <c r="I34" s="4">
        <f t="shared" si="5"/>
        <v>1.06</v>
      </c>
    </row>
    <row r="35" spans="1:9" x14ac:dyDescent="0.35">
      <c r="B35" s="4" t="s">
        <v>16</v>
      </c>
      <c r="C35" s="4" t="s">
        <v>14</v>
      </c>
      <c r="D35" s="4">
        <v>49</v>
      </c>
      <c r="E35" s="4">
        <v>55</v>
      </c>
      <c r="H35" s="4">
        <f t="shared" si="4"/>
        <v>55</v>
      </c>
      <c r="I35" s="4">
        <f t="shared" si="5"/>
        <v>73.150000000000006</v>
      </c>
    </row>
    <row r="36" spans="1:9" x14ac:dyDescent="0.35">
      <c r="B36" s="4" t="s">
        <v>18</v>
      </c>
      <c r="C36" s="4" t="s">
        <v>32</v>
      </c>
      <c r="D36" s="4">
        <v>0.13</v>
      </c>
      <c r="E36" s="4">
        <v>0.16</v>
      </c>
      <c r="H36" s="4">
        <f t="shared" si="4"/>
        <v>0.16</v>
      </c>
      <c r="I36" s="4">
        <f t="shared" si="5"/>
        <v>0.21</v>
      </c>
    </row>
    <row r="37" spans="1:9" x14ac:dyDescent="0.35">
      <c r="B37" s="4" t="s">
        <v>18</v>
      </c>
      <c r="C37" s="4" t="s">
        <v>20</v>
      </c>
      <c r="D37" s="4">
        <v>0.21</v>
      </c>
      <c r="E37" s="4">
        <v>0.25</v>
      </c>
      <c r="H37" s="4">
        <f t="shared" si="4"/>
        <v>0.25</v>
      </c>
      <c r="I37" s="4">
        <f t="shared" si="5"/>
        <v>0.33</v>
      </c>
    </row>
    <row r="39" spans="1:9" x14ac:dyDescent="0.35">
      <c r="A39" s="2" t="s">
        <v>33</v>
      </c>
      <c r="G39" s="3" t="s">
        <v>34</v>
      </c>
    </row>
    <row r="40" spans="1:9" x14ac:dyDescent="0.35">
      <c r="B40" s="4" t="s">
        <v>11</v>
      </c>
      <c r="C40" s="4" t="s">
        <v>12</v>
      </c>
      <c r="D40" s="4">
        <v>12339</v>
      </c>
      <c r="E40" s="4">
        <v>14538</v>
      </c>
      <c r="H40" s="4">
        <f>E40</f>
        <v>14538</v>
      </c>
      <c r="I40" s="4">
        <f>ROUND(E40+0.33*ABS(E40),0)</f>
        <v>19336</v>
      </c>
    </row>
    <row r="41" spans="1:9" x14ac:dyDescent="0.35">
      <c r="B41" s="4" t="s">
        <v>13</v>
      </c>
      <c r="C41" s="4" t="s">
        <v>14</v>
      </c>
      <c r="D41" s="4">
        <v>90</v>
      </c>
      <c r="E41" s="4">
        <v>100</v>
      </c>
      <c r="H41" s="4">
        <f>E41</f>
        <v>100</v>
      </c>
      <c r="I41" s="4">
        <f>ROUND(E41+0.33*ABS(E41),2)</f>
        <v>133</v>
      </c>
    </row>
    <row r="42" spans="1:9" x14ac:dyDescent="0.35">
      <c r="B42" s="4" t="s">
        <v>13</v>
      </c>
      <c r="C42" s="4" t="s">
        <v>15</v>
      </c>
      <c r="D42" s="4">
        <v>-2.29</v>
      </c>
      <c r="E42" s="4">
        <v>-2.2000000000000002</v>
      </c>
      <c r="H42" s="4">
        <f>E42</f>
        <v>-2.2000000000000002</v>
      </c>
      <c r="I42" s="4">
        <f>ROUND(E42+0.33*ABS(E42),2)</f>
        <v>-1.47</v>
      </c>
    </row>
    <row r="43" spans="1:9" x14ac:dyDescent="0.35">
      <c r="B43" s="4" t="s">
        <v>13</v>
      </c>
      <c r="C43" s="4" t="s">
        <v>35</v>
      </c>
      <c r="D43" s="4">
        <v>0.71</v>
      </c>
      <c r="E43" s="4">
        <v>0.81</v>
      </c>
      <c r="H43" s="4">
        <f>E43</f>
        <v>0.81</v>
      </c>
      <c r="I43" s="4">
        <f>ROUND(E43+0.33*ABS(E43),2)</f>
        <v>1.08</v>
      </c>
    </row>
    <row r="44" spans="1:9" x14ac:dyDescent="0.35">
      <c r="B44" s="4" t="s">
        <v>16</v>
      </c>
      <c r="C44" s="4" t="s">
        <v>14</v>
      </c>
      <c r="D44" s="4">
        <v>49</v>
      </c>
      <c r="E44" s="4">
        <v>55</v>
      </c>
      <c r="H44" s="4">
        <f>E44</f>
        <v>55</v>
      </c>
      <c r="I44" s="4">
        <f>ROUND(E44+0.33*ABS(E44),2)</f>
        <v>73.150000000000006</v>
      </c>
    </row>
    <row r="45" spans="1:9" x14ac:dyDescent="0.35">
      <c r="B45" s="4" t="s">
        <v>16</v>
      </c>
      <c r="C45" s="4" t="s">
        <v>36</v>
      </c>
      <c r="D45" s="5" t="s">
        <v>37</v>
      </c>
      <c r="H45" s="6"/>
    </row>
    <row r="46" spans="1:9" x14ac:dyDescent="0.35">
      <c r="B46" s="4" t="s">
        <v>18</v>
      </c>
      <c r="C46" s="4" t="s">
        <v>38</v>
      </c>
      <c r="D46" s="5" t="s">
        <v>39</v>
      </c>
      <c r="H46" s="5" t="str">
        <f>D46</f>
        <v>{"chance": {"min": 0.05, "max": 0.2, "step": 0.01}, "amount": {"min": 2.0, "max": 2.0, "step": 0.0}}</v>
      </c>
    </row>
    <row r="48" spans="1:9" x14ac:dyDescent="0.35">
      <c r="A48" s="2" t="s">
        <v>40</v>
      </c>
      <c r="G48" s="3" t="s">
        <v>41</v>
      </c>
    </row>
    <row r="49" spans="1:9" x14ac:dyDescent="0.35">
      <c r="B49" s="4" t="s">
        <v>11</v>
      </c>
      <c r="C49" s="4" t="s">
        <v>12</v>
      </c>
      <c r="D49" s="4">
        <v>12339</v>
      </c>
      <c r="E49" s="4">
        <v>14538</v>
      </c>
      <c r="H49" s="4">
        <f>E49</f>
        <v>14538</v>
      </c>
      <c r="I49" s="4">
        <f>ROUND(E49+0.33*ABS(E49),0)</f>
        <v>19336</v>
      </c>
    </row>
    <row r="50" spans="1:9" x14ac:dyDescent="0.35">
      <c r="B50" s="4" t="s">
        <v>13</v>
      </c>
      <c r="C50" s="4" t="s">
        <v>14</v>
      </c>
      <c r="D50" s="4">
        <v>90</v>
      </c>
      <c r="E50" s="4">
        <v>100</v>
      </c>
      <c r="H50" s="4">
        <f>E50</f>
        <v>100</v>
      </c>
      <c r="I50" s="4">
        <f>ROUND(E50+0.33*ABS(E50),2)</f>
        <v>133</v>
      </c>
    </row>
    <row r="51" spans="1:9" x14ac:dyDescent="0.35">
      <c r="B51" s="4" t="s">
        <v>13</v>
      </c>
      <c r="C51" s="4" t="s">
        <v>15</v>
      </c>
      <c r="D51" s="4">
        <v>-2.29</v>
      </c>
      <c r="E51" s="4">
        <v>-2.2000000000000002</v>
      </c>
      <c r="H51" s="4">
        <f>E51</f>
        <v>-2.2000000000000002</v>
      </c>
      <c r="I51" s="4">
        <f>ROUND(E51+0.33*ABS(E51),2)</f>
        <v>-1.47</v>
      </c>
    </row>
    <row r="52" spans="1:9" x14ac:dyDescent="0.35">
      <c r="B52" s="4" t="s">
        <v>16</v>
      </c>
      <c r="C52" s="4" t="s">
        <v>17</v>
      </c>
      <c r="D52" s="4">
        <v>45</v>
      </c>
      <c r="E52" s="4">
        <v>50</v>
      </c>
      <c r="H52" s="4">
        <f>E52</f>
        <v>50</v>
      </c>
      <c r="I52" s="4">
        <f>ROUND(E52+0.33*ABS(E52),2)</f>
        <v>66.5</v>
      </c>
    </row>
    <row r="53" spans="1:9" x14ac:dyDescent="0.35">
      <c r="B53" s="4" t="s">
        <v>18</v>
      </c>
      <c r="C53" s="4" t="s">
        <v>20</v>
      </c>
      <c r="D53" s="4">
        <v>0.21</v>
      </c>
      <c r="E53" s="4">
        <v>0.25</v>
      </c>
      <c r="H53" s="4">
        <f>E53</f>
        <v>0.25</v>
      </c>
      <c r="I53" s="4">
        <f>ROUND(E53+0.33*ABS(E53),2)</f>
        <v>0.33</v>
      </c>
    </row>
    <row r="54" spans="1:9" x14ac:dyDescent="0.35">
      <c r="B54" s="4" t="s">
        <v>18</v>
      </c>
      <c r="C54" s="4" t="s">
        <v>42</v>
      </c>
      <c r="D54" s="5" t="s">
        <v>43</v>
      </c>
      <c r="H54" s="5" t="str">
        <f>D54</f>
        <v>{"hitsRequired": {"min": 6, "max": 10, "step": 1}, "radius": {"min": 3.0, "max": 6.0, "step": 1}, "percentAbilityPower": {"min": 0.5, "max": 2.0, "step": 0.05}}</v>
      </c>
    </row>
    <row r="56" spans="1:9" x14ac:dyDescent="0.35">
      <c r="A56" s="2" t="s">
        <v>44</v>
      </c>
      <c r="G56" s="3" t="s">
        <v>45</v>
      </c>
    </row>
    <row r="57" spans="1:9" x14ac:dyDescent="0.35">
      <c r="B57" s="4" t="s">
        <v>11</v>
      </c>
      <c r="C57" s="4" t="s">
        <v>12</v>
      </c>
      <c r="D57" s="4">
        <v>12339</v>
      </c>
      <c r="E57" s="4">
        <v>14538</v>
      </c>
      <c r="H57" s="4">
        <f>E57</f>
        <v>14538</v>
      </c>
      <c r="I57" s="4">
        <f>ROUND(E57+0.33*ABS(E57),0)</f>
        <v>19336</v>
      </c>
    </row>
    <row r="58" spans="1:9" x14ac:dyDescent="0.35">
      <c r="B58" s="4" t="s">
        <v>13</v>
      </c>
      <c r="C58" s="4" t="s">
        <v>46</v>
      </c>
      <c r="D58" s="4">
        <v>28</v>
      </c>
      <c r="E58" s="4">
        <v>30</v>
      </c>
      <c r="H58" s="4">
        <f>E58</f>
        <v>30</v>
      </c>
      <c r="I58" s="4">
        <f>ROUND(E58+0.33*ABS(E58),0)</f>
        <v>40</v>
      </c>
    </row>
    <row r="59" spans="1:9" x14ac:dyDescent="0.35">
      <c r="B59" s="4" t="s">
        <v>13</v>
      </c>
      <c r="C59" s="4" t="s">
        <v>47</v>
      </c>
      <c r="D59" s="4">
        <v>0.05</v>
      </c>
      <c r="E59" s="4">
        <v>7.0000000000000007E-2</v>
      </c>
      <c r="H59" s="4">
        <f>E59</f>
        <v>7.0000000000000007E-2</v>
      </c>
      <c r="I59" s="4">
        <f>ROUND(E59+0.33*ABS(E59),2)</f>
        <v>0.09</v>
      </c>
    </row>
    <row r="60" spans="1:9" x14ac:dyDescent="0.35">
      <c r="B60" s="4" t="s">
        <v>18</v>
      </c>
      <c r="C60" s="4" t="s">
        <v>48</v>
      </c>
      <c r="D60" s="4">
        <v>0.2</v>
      </c>
      <c r="E60" s="4">
        <v>0.3</v>
      </c>
      <c r="H60" s="4">
        <f>E60</f>
        <v>0.3</v>
      </c>
      <c r="I60" s="4">
        <f>ROUND(E60+0.33*ABS(E60),2)</f>
        <v>0.4</v>
      </c>
    </row>
    <row r="61" spans="1:9" x14ac:dyDescent="0.35">
      <c r="B61" s="4" t="s">
        <v>18</v>
      </c>
      <c r="C61" s="4" t="s">
        <v>49</v>
      </c>
      <c r="D61" s="4">
        <v>0.5</v>
      </c>
      <c r="E61" s="4">
        <v>1</v>
      </c>
      <c r="H61" s="4">
        <f>E61</f>
        <v>1</v>
      </c>
      <c r="I61" s="4">
        <f>ROUND(E61+0.33*ABS(E61),2)</f>
        <v>1.33</v>
      </c>
    </row>
    <row r="63" spans="1:9" x14ac:dyDescent="0.35">
      <c r="A63" s="2" t="s">
        <v>50</v>
      </c>
      <c r="G63" s="3" t="s">
        <v>51</v>
      </c>
    </row>
    <row r="64" spans="1:9" x14ac:dyDescent="0.35">
      <c r="B64" s="4" t="s">
        <v>11</v>
      </c>
      <c r="C64" s="4" t="s">
        <v>12</v>
      </c>
      <c r="D64" s="4">
        <v>12339</v>
      </c>
      <c r="E64" s="4">
        <v>14538</v>
      </c>
      <c r="H64" s="4">
        <f>E64</f>
        <v>14538</v>
      </c>
      <c r="I64" s="4">
        <f>ROUND(E64+0.33*ABS(E64),0)</f>
        <v>19336</v>
      </c>
    </row>
    <row r="65" spans="1:9" x14ac:dyDescent="0.35">
      <c r="B65" s="4" t="s">
        <v>13</v>
      </c>
      <c r="C65" s="4" t="s">
        <v>17</v>
      </c>
      <c r="D65" s="4">
        <v>45</v>
      </c>
      <c r="E65" s="4">
        <v>50</v>
      </c>
      <c r="H65" s="4">
        <f>E65</f>
        <v>50</v>
      </c>
      <c r="I65" s="4">
        <f>ROUND(E65+0.33*ABS(E65),2)</f>
        <v>66.5</v>
      </c>
    </row>
    <row r="66" spans="1:9" x14ac:dyDescent="0.35">
      <c r="B66" s="4" t="s">
        <v>16</v>
      </c>
      <c r="C66" s="4" t="s">
        <v>52</v>
      </c>
      <c r="D66" s="5" t="s">
        <v>53</v>
      </c>
      <c r="H66" s="5" t="str">
        <f>D66</f>
        <v>{"abilityKey": "Storm_Arrow_Base", "levelChange": 2}</v>
      </c>
    </row>
    <row r="67" spans="1:9" x14ac:dyDescent="0.35">
      <c r="B67" s="4" t="s">
        <v>16</v>
      </c>
      <c r="C67" s="4" t="s">
        <v>54</v>
      </c>
      <c r="D67" s="4">
        <v>-0.8</v>
      </c>
      <c r="E67" s="4">
        <v>-0.6</v>
      </c>
      <c r="H67" s="4">
        <f>E67</f>
        <v>-0.6</v>
      </c>
      <c r="I67" s="4">
        <f>ROUND(E67+0.33*ABS(E67),2)</f>
        <v>-0.4</v>
      </c>
    </row>
    <row r="68" spans="1:9" x14ac:dyDescent="0.35">
      <c r="B68" s="4" t="s">
        <v>16</v>
      </c>
      <c r="C68" s="4" t="s">
        <v>55</v>
      </c>
      <c r="D68" s="4">
        <v>-0.75</v>
      </c>
      <c r="E68" s="4">
        <v>-0.5</v>
      </c>
      <c r="H68" s="4">
        <f>E68</f>
        <v>-0.5</v>
      </c>
      <c r="I68" s="4">
        <f>ROUND(E68+0.33*ABS(E68),2)</f>
        <v>-0.34</v>
      </c>
    </row>
    <row r="69" spans="1:9" x14ac:dyDescent="0.35">
      <c r="B69" s="4" t="s">
        <v>18</v>
      </c>
      <c r="C69" s="4" t="s">
        <v>56</v>
      </c>
      <c r="D69" s="4">
        <v>0.81</v>
      </c>
      <c r="E69" s="4">
        <v>1</v>
      </c>
      <c r="H69" s="4">
        <f>E69</f>
        <v>1</v>
      </c>
      <c r="I69" s="4">
        <f>ROUND(E69+0.33*ABS(E69),2)</f>
        <v>1.33</v>
      </c>
    </row>
    <row r="71" spans="1:9" x14ac:dyDescent="0.35">
      <c r="A71" s="2" t="s">
        <v>57</v>
      </c>
      <c r="G71" s="3" t="s">
        <v>58</v>
      </c>
    </row>
    <row r="72" spans="1:9" x14ac:dyDescent="0.35">
      <c r="B72" s="4" t="s">
        <v>11</v>
      </c>
      <c r="C72" s="4" t="s">
        <v>12</v>
      </c>
      <c r="D72" s="4">
        <v>12339</v>
      </c>
      <c r="E72" s="4">
        <v>14538</v>
      </c>
      <c r="H72" s="4">
        <f>E72</f>
        <v>14538</v>
      </c>
      <c r="I72" s="4">
        <f>ROUND(E72+0.33*ABS(E72),0)</f>
        <v>19336</v>
      </c>
    </row>
    <row r="73" spans="1:9" x14ac:dyDescent="0.35">
      <c r="B73" s="4" t="s">
        <v>13</v>
      </c>
      <c r="C73" s="4" t="s">
        <v>46</v>
      </c>
      <c r="D73" s="4">
        <v>28</v>
      </c>
      <c r="E73" s="4">
        <v>30</v>
      </c>
      <c r="H73" s="4">
        <f>E73</f>
        <v>30</v>
      </c>
      <c r="I73" s="4">
        <f>ROUND(E73+0.33*ABS(E73),0)</f>
        <v>40</v>
      </c>
    </row>
    <row r="74" spans="1:9" x14ac:dyDescent="0.35">
      <c r="B74" s="4" t="s">
        <v>16</v>
      </c>
      <c r="C74" s="4" t="s">
        <v>52</v>
      </c>
      <c r="D74" s="5" t="s">
        <v>59</v>
      </c>
      <c r="H74" s="5" t="str">
        <f>D74</f>
        <v>{"abilityKey": "Javelin_Scatter", "levelChange": 3}</v>
      </c>
    </row>
    <row r="75" spans="1:9" x14ac:dyDescent="0.35">
      <c r="B75" s="4" t="s">
        <v>16</v>
      </c>
      <c r="C75" s="4" t="s">
        <v>60</v>
      </c>
      <c r="D75" s="4">
        <v>0.28999999999999998</v>
      </c>
      <c r="E75" s="4">
        <v>0.35</v>
      </c>
      <c r="H75" s="4">
        <f>E75</f>
        <v>0.35</v>
      </c>
      <c r="I75" s="4">
        <f>ROUND(E75+0.33*ABS(E75),2)</f>
        <v>0.47</v>
      </c>
    </row>
    <row r="76" spans="1:9" x14ac:dyDescent="0.35">
      <c r="B76" s="4" t="s">
        <v>18</v>
      </c>
      <c r="C76" s="4" t="s">
        <v>61</v>
      </c>
      <c r="D76" s="4">
        <v>0.26</v>
      </c>
      <c r="E76" s="4">
        <v>0.28000000000000003</v>
      </c>
      <c r="H76" s="4">
        <f>E76</f>
        <v>0.28000000000000003</v>
      </c>
      <c r="I76" s="4">
        <f>ROUND(E76+0.33*ABS(E76),2)</f>
        <v>0.37</v>
      </c>
    </row>
    <row r="77" spans="1:9" x14ac:dyDescent="0.35">
      <c r="B77" s="4" t="s">
        <v>18</v>
      </c>
      <c r="C77" s="4" t="s">
        <v>56</v>
      </c>
      <c r="D77" s="4">
        <v>0.81</v>
      </c>
      <c r="E77" s="4">
        <v>1</v>
      </c>
      <c r="H77" s="4">
        <f>E77</f>
        <v>1</v>
      </c>
      <c r="I77" s="4">
        <f>ROUND(E77+0.33*ABS(E77),2)</f>
        <v>1.33</v>
      </c>
    </row>
    <row r="79" spans="1:9" x14ac:dyDescent="0.35">
      <c r="A79" s="2" t="s">
        <v>62</v>
      </c>
      <c r="G79" s="3" t="s">
        <v>63</v>
      </c>
    </row>
    <row r="80" spans="1:9" x14ac:dyDescent="0.35">
      <c r="B80" s="4" t="s">
        <v>11</v>
      </c>
      <c r="C80" s="4" t="s">
        <v>12</v>
      </c>
      <c r="D80" s="4">
        <v>12339</v>
      </c>
      <c r="E80" s="4">
        <v>14538</v>
      </c>
      <c r="H80" s="4">
        <f t="shared" ref="H80:H85" si="6">E80</f>
        <v>14538</v>
      </c>
      <c r="I80" s="4">
        <f>ROUND(E80+0.33*ABS(E80),0)</f>
        <v>19336</v>
      </c>
    </row>
    <row r="81" spans="1:9" x14ac:dyDescent="0.35">
      <c r="B81" s="4" t="s">
        <v>13</v>
      </c>
      <c r="C81" s="4" t="s">
        <v>46</v>
      </c>
      <c r="D81" s="4">
        <v>28</v>
      </c>
      <c r="E81" s="4">
        <v>30</v>
      </c>
      <c r="H81" s="4">
        <f t="shared" si="6"/>
        <v>30</v>
      </c>
      <c r="I81" s="4">
        <f>ROUND(E81+0.33*ABS(E81),0)</f>
        <v>40</v>
      </c>
    </row>
    <row r="82" spans="1:9" x14ac:dyDescent="0.35">
      <c r="B82" s="4" t="s">
        <v>13</v>
      </c>
      <c r="C82" s="4" t="s">
        <v>64</v>
      </c>
      <c r="D82" s="4">
        <v>0.16</v>
      </c>
      <c r="E82" s="4">
        <v>0.3</v>
      </c>
      <c r="H82" s="4">
        <f t="shared" si="6"/>
        <v>0.3</v>
      </c>
      <c r="I82" s="4">
        <f>ROUND(E82+0.33*ABS(E82),2)</f>
        <v>0.4</v>
      </c>
    </row>
    <row r="83" spans="1:9" x14ac:dyDescent="0.35">
      <c r="B83" s="4" t="s">
        <v>13</v>
      </c>
      <c r="C83" s="4" t="s">
        <v>17</v>
      </c>
      <c r="D83" s="4">
        <v>45</v>
      </c>
      <c r="E83" s="4">
        <v>50</v>
      </c>
      <c r="H83" s="4">
        <f t="shared" si="6"/>
        <v>50</v>
      </c>
      <c r="I83" s="4">
        <f>ROUND(E83+0.33*ABS(E83),2)</f>
        <v>66.5</v>
      </c>
    </row>
    <row r="84" spans="1:9" x14ac:dyDescent="0.35">
      <c r="B84" s="4" t="s">
        <v>16</v>
      </c>
      <c r="C84" s="4" t="s">
        <v>46</v>
      </c>
      <c r="D84" s="4">
        <v>8</v>
      </c>
      <c r="E84" s="4">
        <v>10</v>
      </c>
      <c r="H84" s="4">
        <f t="shared" si="6"/>
        <v>10</v>
      </c>
      <c r="I84" s="4">
        <f>ROUND(E84+0.33*ABS(E84),0)</f>
        <v>13</v>
      </c>
    </row>
    <row r="85" spans="1:9" x14ac:dyDescent="0.35">
      <c r="B85" s="4" t="s">
        <v>16</v>
      </c>
      <c r="C85" s="4" t="s">
        <v>65</v>
      </c>
      <c r="D85" s="4">
        <v>12</v>
      </c>
      <c r="E85" s="4">
        <v>12</v>
      </c>
      <c r="H85" s="4">
        <f t="shared" si="6"/>
        <v>12</v>
      </c>
      <c r="I85" s="4">
        <f>ROUND(E85+0.33*ABS(E85),0)</f>
        <v>16</v>
      </c>
    </row>
    <row r="86" spans="1:9" x14ac:dyDescent="0.35">
      <c r="B86" s="4" t="s">
        <v>16</v>
      </c>
      <c r="C86" s="4" t="s">
        <v>52</v>
      </c>
      <c r="D86" s="5" t="s">
        <v>66</v>
      </c>
      <c r="H86" s="5" t="str">
        <f>D86</f>
        <v>{"abilityKey": "Heal_Group", "levelChange": 2}</v>
      </c>
    </row>
    <row r="87" spans="1:9" x14ac:dyDescent="0.35">
      <c r="B87" s="4" t="s">
        <v>18</v>
      </c>
      <c r="C87" s="4" t="s">
        <v>55</v>
      </c>
      <c r="D87" s="4">
        <v>-0.75</v>
      </c>
      <c r="E87" s="4">
        <v>-0.25</v>
      </c>
      <c r="H87" s="4">
        <f>E87</f>
        <v>-0.25</v>
      </c>
      <c r="I87" s="4">
        <f>ROUND(E87+0.33*ABS(E87),2)</f>
        <v>-0.17</v>
      </c>
    </row>
    <row r="88" spans="1:9" x14ac:dyDescent="0.35">
      <c r="B88" s="4" t="s">
        <v>18</v>
      </c>
      <c r="C88" s="4" t="s">
        <v>67</v>
      </c>
      <c r="D88" s="4">
        <v>1</v>
      </c>
      <c r="E88" s="4">
        <v>1</v>
      </c>
      <c r="H88" s="4">
        <f>E88</f>
        <v>1</v>
      </c>
      <c r="I88" s="4">
        <f>ROUND(E88+0.33*ABS(E88),0)</f>
        <v>1</v>
      </c>
    </row>
    <row r="90" spans="1:9" x14ac:dyDescent="0.35">
      <c r="A90" s="2" t="s">
        <v>68</v>
      </c>
      <c r="G90" s="3" t="s">
        <v>69</v>
      </c>
    </row>
    <row r="91" spans="1:9" x14ac:dyDescent="0.35">
      <c r="B91" s="4" t="s">
        <v>11</v>
      </c>
      <c r="C91" s="4" t="s">
        <v>12</v>
      </c>
      <c r="D91" s="4">
        <v>12339</v>
      </c>
      <c r="E91" s="4">
        <v>14538</v>
      </c>
      <c r="H91" s="4">
        <f t="shared" ref="H91:H98" si="7">E91</f>
        <v>14538</v>
      </c>
      <c r="I91" s="4">
        <f>ROUND(E91+0.33*ABS(E91),0)</f>
        <v>19336</v>
      </c>
    </row>
    <row r="92" spans="1:9" x14ac:dyDescent="0.35">
      <c r="B92" s="4" t="s">
        <v>13</v>
      </c>
      <c r="C92" s="4" t="s">
        <v>46</v>
      </c>
      <c r="D92" s="4">
        <v>28</v>
      </c>
      <c r="E92" s="4">
        <v>30</v>
      </c>
      <c r="H92" s="4">
        <f t="shared" si="7"/>
        <v>30</v>
      </c>
      <c r="I92" s="4">
        <f>ROUND(E92+0.33*ABS(E92),0)</f>
        <v>40</v>
      </c>
    </row>
    <row r="93" spans="1:9" x14ac:dyDescent="0.35">
      <c r="B93" s="4" t="s">
        <v>13</v>
      </c>
      <c r="C93" s="4" t="s">
        <v>64</v>
      </c>
      <c r="D93" s="4">
        <v>0.21</v>
      </c>
      <c r="E93" s="4">
        <v>0.5</v>
      </c>
      <c r="H93" s="4">
        <f t="shared" si="7"/>
        <v>0.5</v>
      </c>
      <c r="I93" s="4">
        <f>ROUND(E93+0.33*ABS(E93),2)</f>
        <v>0.67</v>
      </c>
    </row>
    <row r="94" spans="1:9" x14ac:dyDescent="0.35">
      <c r="B94" s="4" t="s">
        <v>16</v>
      </c>
      <c r="C94" s="4" t="s">
        <v>46</v>
      </c>
      <c r="D94" s="4">
        <v>8</v>
      </c>
      <c r="E94" s="4">
        <v>10</v>
      </c>
      <c r="H94" s="4">
        <f t="shared" si="7"/>
        <v>10</v>
      </c>
      <c r="I94" s="4">
        <f>ROUND(E94+0.33*ABS(E94),0)</f>
        <v>13</v>
      </c>
    </row>
    <row r="95" spans="1:9" x14ac:dyDescent="0.35">
      <c r="B95" s="4" t="s">
        <v>16</v>
      </c>
      <c r="C95" s="4" t="s">
        <v>70</v>
      </c>
      <c r="D95" s="4">
        <v>0.13</v>
      </c>
      <c r="E95" s="4">
        <v>0.16</v>
      </c>
      <c r="H95" s="4">
        <f t="shared" si="7"/>
        <v>0.16</v>
      </c>
      <c r="I95" s="4">
        <f>ROUND(E95+0.33*ABS(E95),2)</f>
        <v>0.21</v>
      </c>
    </row>
    <row r="96" spans="1:9" x14ac:dyDescent="0.35">
      <c r="B96" s="4" t="s">
        <v>16</v>
      </c>
      <c r="C96" s="4" t="s">
        <v>70</v>
      </c>
      <c r="D96" s="4">
        <v>0.13</v>
      </c>
      <c r="E96" s="4">
        <v>0.16</v>
      </c>
      <c r="H96" s="4">
        <f t="shared" si="7"/>
        <v>0.16</v>
      </c>
      <c r="I96" s="4">
        <f>ROUND(E96+0.33*ABS(E96),2)</f>
        <v>0.21</v>
      </c>
    </row>
    <row r="97" spans="1:9" x14ac:dyDescent="0.35">
      <c r="B97" s="4" t="s">
        <v>18</v>
      </c>
      <c r="C97" s="4" t="s">
        <v>71</v>
      </c>
      <c r="D97" s="4">
        <v>1</v>
      </c>
      <c r="E97" s="4">
        <v>1</v>
      </c>
      <c r="H97" s="4">
        <f t="shared" si="7"/>
        <v>1</v>
      </c>
      <c r="I97" s="4">
        <f>ROUND(E97+0.33*ABS(E97),2)</f>
        <v>1.33</v>
      </c>
    </row>
    <row r="98" spans="1:9" x14ac:dyDescent="0.35">
      <c r="B98" s="4" t="s">
        <v>18</v>
      </c>
      <c r="C98" s="4" t="s">
        <v>72</v>
      </c>
      <c r="D98" s="4">
        <v>0.06</v>
      </c>
      <c r="E98" s="4">
        <v>0.1</v>
      </c>
      <c r="H98" s="4">
        <f t="shared" si="7"/>
        <v>0.1</v>
      </c>
      <c r="I98" s="4">
        <f>ROUND(E98+0.33*ABS(E98),2)</f>
        <v>0.13</v>
      </c>
    </row>
    <row r="100" spans="1:9" x14ac:dyDescent="0.35">
      <c r="A100" s="2" t="s">
        <v>73</v>
      </c>
      <c r="G100" s="3" t="s">
        <v>74</v>
      </c>
    </row>
    <row r="101" spans="1:9" x14ac:dyDescent="0.35">
      <c r="B101" s="4" t="s">
        <v>11</v>
      </c>
      <c r="C101" s="4" t="s">
        <v>12</v>
      </c>
      <c r="D101" s="4">
        <v>12339</v>
      </c>
      <c r="E101" s="4">
        <v>14538</v>
      </c>
      <c r="H101" s="4">
        <f>E101</f>
        <v>14538</v>
      </c>
      <c r="I101" s="4">
        <f>ROUND(E101+0.33*ABS(E101),0)</f>
        <v>19336</v>
      </c>
    </row>
    <row r="102" spans="1:9" x14ac:dyDescent="0.35">
      <c r="B102" s="4" t="s">
        <v>13</v>
      </c>
      <c r="C102" s="4" t="s">
        <v>52</v>
      </c>
      <c r="D102" s="5" t="s">
        <v>75</v>
      </c>
      <c r="H102" s="5" t="str">
        <f>D102</f>
        <v>{"levelChange": 2, "abilityKey": "all_abilities"}</v>
      </c>
    </row>
    <row r="103" spans="1:9" x14ac:dyDescent="0.35">
      <c r="B103" s="4" t="s">
        <v>13</v>
      </c>
      <c r="C103" s="4" t="s">
        <v>17</v>
      </c>
      <c r="D103" s="4">
        <v>45</v>
      </c>
      <c r="E103" s="4">
        <v>50</v>
      </c>
      <c r="H103" s="4">
        <f>E103</f>
        <v>50</v>
      </c>
      <c r="I103" s="4">
        <f>ROUND(E103+0.33*ABS(E103),2)</f>
        <v>66.5</v>
      </c>
    </row>
    <row r="104" spans="1:9" x14ac:dyDescent="0.35">
      <c r="B104" s="4" t="s">
        <v>16</v>
      </c>
      <c r="C104" s="4" t="s">
        <v>17</v>
      </c>
      <c r="D104" s="4">
        <v>45</v>
      </c>
      <c r="E104" s="4">
        <v>50</v>
      </c>
      <c r="H104" s="4">
        <f>E104</f>
        <v>50</v>
      </c>
      <c r="I104" s="4">
        <f>ROUND(E104+0.33*ABS(E104),2)</f>
        <v>66.5</v>
      </c>
    </row>
    <row r="105" spans="1:9" x14ac:dyDescent="0.35">
      <c r="B105" s="4" t="s">
        <v>18</v>
      </c>
      <c r="C105" s="4" t="s">
        <v>56</v>
      </c>
      <c r="D105" s="4">
        <v>0.81</v>
      </c>
      <c r="E105" s="4">
        <v>1</v>
      </c>
      <c r="H105" s="4">
        <f>E105</f>
        <v>1</v>
      </c>
      <c r="I105" s="4">
        <f>ROUND(E105+0.33*ABS(E105),2)</f>
        <v>1.33</v>
      </c>
    </row>
    <row r="106" spans="1:9" x14ac:dyDescent="0.35">
      <c r="B106" s="4" t="s">
        <v>18</v>
      </c>
      <c r="C106" s="4" t="s">
        <v>76</v>
      </c>
      <c r="D106" s="4">
        <v>0.17</v>
      </c>
      <c r="E106" s="4">
        <v>0.2</v>
      </c>
      <c r="H106" s="4">
        <f>E106</f>
        <v>0.2</v>
      </c>
      <c r="I106" s="4">
        <f>ROUND(E106+0.33*ABS(E106),2)</f>
        <v>0.27</v>
      </c>
    </row>
    <row r="108" spans="1:9" x14ac:dyDescent="0.35">
      <c r="A108" s="2" t="s">
        <v>77</v>
      </c>
      <c r="G108" s="3" t="s">
        <v>78</v>
      </c>
    </row>
    <row r="109" spans="1:9" x14ac:dyDescent="0.35">
      <c r="B109" s="4" t="s">
        <v>11</v>
      </c>
      <c r="C109" s="4" t="s">
        <v>12</v>
      </c>
      <c r="D109" s="4">
        <v>12339</v>
      </c>
      <c r="E109" s="4">
        <v>14538</v>
      </c>
      <c r="H109" s="4">
        <f>E109</f>
        <v>14538</v>
      </c>
      <c r="I109" s="4">
        <f>ROUND(E109+0.33*ABS(E109),0)</f>
        <v>19336</v>
      </c>
    </row>
    <row r="110" spans="1:9" x14ac:dyDescent="0.35">
      <c r="B110" s="4" t="s">
        <v>13</v>
      </c>
      <c r="C110" s="4" t="s">
        <v>46</v>
      </c>
      <c r="D110" s="4">
        <v>28</v>
      </c>
      <c r="E110" s="4">
        <v>30</v>
      </c>
      <c r="H110" s="4">
        <f>E110</f>
        <v>30</v>
      </c>
      <c r="I110" s="4">
        <f>ROUND(E110+0.33*ABS(E110),0)</f>
        <v>40</v>
      </c>
    </row>
    <row r="111" spans="1:9" x14ac:dyDescent="0.35">
      <c r="B111" s="4" t="s">
        <v>13</v>
      </c>
      <c r="C111" s="4" t="s">
        <v>64</v>
      </c>
      <c r="D111" s="4">
        <v>0.16</v>
      </c>
      <c r="E111" s="4">
        <v>0.3</v>
      </c>
      <c r="H111" s="4">
        <f>E111</f>
        <v>0.3</v>
      </c>
      <c r="I111" s="4">
        <f>ROUND(E111+0.33*ABS(E111),2)</f>
        <v>0.4</v>
      </c>
    </row>
    <row r="112" spans="1:9" x14ac:dyDescent="0.35">
      <c r="B112" s="4" t="s">
        <v>16</v>
      </c>
      <c r="C112" s="4" t="s">
        <v>52</v>
      </c>
      <c r="D112" s="5" t="s">
        <v>79</v>
      </c>
      <c r="H112" s="5" t="str">
        <f>D112</f>
        <v>{"abilityKey": "Nova_Slow", "levelChange": 2}</v>
      </c>
    </row>
    <row r="113" spans="1:9" x14ac:dyDescent="0.35">
      <c r="B113" s="4" t="s">
        <v>18</v>
      </c>
      <c r="C113" s="4" t="s">
        <v>80</v>
      </c>
      <c r="D113" s="5" t="s">
        <v>81</v>
      </c>
      <c r="H113" s="5" t="str">
        <f>D113</f>
        <v>{"abilityId": "Nova_Slow", "chance": {"min": 0.05, "max": 0.2, "step": 0.01}, "level": {"min": 2, "max": 7, "step": 1}}</v>
      </c>
    </row>
    <row r="115" spans="1:9" x14ac:dyDescent="0.35">
      <c r="A115" s="2" t="s">
        <v>82</v>
      </c>
      <c r="G115" s="3" t="s">
        <v>83</v>
      </c>
    </row>
    <row r="116" spans="1:9" x14ac:dyDescent="0.35">
      <c r="B116" s="4" t="s">
        <v>11</v>
      </c>
      <c r="C116" s="4" t="s">
        <v>12</v>
      </c>
      <c r="D116" s="4">
        <v>12339</v>
      </c>
      <c r="E116" s="4">
        <v>14538</v>
      </c>
      <c r="H116" s="4">
        <f>E116</f>
        <v>14538</v>
      </c>
      <c r="I116" s="4">
        <f>ROUND(E116+0.33*ABS(E116),0)</f>
        <v>19336</v>
      </c>
    </row>
    <row r="117" spans="1:9" x14ac:dyDescent="0.35">
      <c r="B117" s="4" t="s">
        <v>13</v>
      </c>
      <c r="C117" s="4" t="s">
        <v>65</v>
      </c>
      <c r="D117" s="4">
        <v>12</v>
      </c>
      <c r="E117" s="4">
        <v>12</v>
      </c>
      <c r="H117" s="4">
        <f>E117</f>
        <v>12</v>
      </c>
      <c r="I117" s="4">
        <f>ROUND(E117+0.33*ABS(E117),0)</f>
        <v>16</v>
      </c>
    </row>
    <row r="118" spans="1:9" x14ac:dyDescent="0.35">
      <c r="B118" s="4" t="s">
        <v>16</v>
      </c>
      <c r="C118" s="4" t="s">
        <v>65</v>
      </c>
      <c r="D118" s="4">
        <v>12</v>
      </c>
      <c r="E118" s="4">
        <v>12</v>
      </c>
      <c r="H118" s="4">
        <f>E118</f>
        <v>12</v>
      </c>
      <c r="I118" s="4">
        <f>ROUND(E118+0.33*ABS(E118),0)</f>
        <v>16</v>
      </c>
    </row>
    <row r="119" spans="1:9" x14ac:dyDescent="0.35">
      <c r="B119" s="4" t="s">
        <v>16</v>
      </c>
      <c r="C119" s="4" t="s">
        <v>65</v>
      </c>
      <c r="D119" s="4">
        <v>12</v>
      </c>
      <c r="E119" s="4">
        <v>12</v>
      </c>
      <c r="H119" s="4">
        <f>E119</f>
        <v>12</v>
      </c>
      <c r="I119" s="4">
        <f>ROUND(E119+0.33*ABS(E119),0)</f>
        <v>16</v>
      </c>
    </row>
    <row r="121" spans="1:9" x14ac:dyDescent="0.35">
      <c r="A121" s="2" t="s">
        <v>84</v>
      </c>
      <c r="G121" s="3" t="s">
        <v>85</v>
      </c>
    </row>
    <row r="122" spans="1:9" x14ac:dyDescent="0.35">
      <c r="B122" s="4" t="s">
        <v>11</v>
      </c>
      <c r="C122" s="4" t="s">
        <v>12</v>
      </c>
      <c r="D122" s="4">
        <v>12339</v>
      </c>
      <c r="E122" s="4">
        <v>14538</v>
      </c>
      <c r="H122" s="4">
        <f>E122</f>
        <v>14538</v>
      </c>
      <c r="I122" s="4">
        <f>ROUND(E122+0.33*ABS(E122),0)</f>
        <v>19336</v>
      </c>
    </row>
    <row r="123" spans="1:9" x14ac:dyDescent="0.35">
      <c r="B123" s="4" t="s">
        <v>13</v>
      </c>
      <c r="C123" s="4" t="s">
        <v>86</v>
      </c>
      <c r="D123" s="5" t="s">
        <v>37</v>
      </c>
      <c r="H123" s="6"/>
    </row>
    <row r="124" spans="1:9" x14ac:dyDescent="0.35">
      <c r="B124" s="4" t="s">
        <v>13</v>
      </c>
      <c r="C124" s="4" t="s">
        <v>46</v>
      </c>
      <c r="D124" s="4">
        <v>28</v>
      </c>
      <c r="E124" s="4">
        <v>30</v>
      </c>
      <c r="H124" s="4">
        <f>E124</f>
        <v>30</v>
      </c>
      <c r="I124" s="4">
        <f>ROUND(E124+0.33*ABS(E124),0)</f>
        <v>40</v>
      </c>
    </row>
    <row r="125" spans="1:9" x14ac:dyDescent="0.35">
      <c r="B125" s="4" t="s">
        <v>16</v>
      </c>
      <c r="C125" s="4" t="s">
        <v>65</v>
      </c>
      <c r="D125" s="4">
        <v>12</v>
      </c>
      <c r="E125" s="4">
        <v>12</v>
      </c>
      <c r="H125" s="4">
        <f>E125</f>
        <v>12</v>
      </c>
      <c r="I125" s="4">
        <f>ROUND(E125+0.33*ABS(E125),0)</f>
        <v>16</v>
      </c>
    </row>
    <row r="126" spans="1:9" x14ac:dyDescent="0.35">
      <c r="B126" s="4" t="s">
        <v>16</v>
      </c>
      <c r="C126" s="4" t="s">
        <v>46</v>
      </c>
      <c r="D126" s="4">
        <v>8</v>
      </c>
      <c r="E126" s="4">
        <v>10</v>
      </c>
      <c r="H126" s="4">
        <f>E126</f>
        <v>10</v>
      </c>
      <c r="I126" s="4">
        <f>ROUND(E126+0.33*ABS(E126),0)</f>
        <v>13</v>
      </c>
    </row>
    <row r="127" spans="1:9" x14ac:dyDescent="0.35">
      <c r="B127" s="4" t="s">
        <v>16</v>
      </c>
      <c r="C127" s="4" t="s">
        <v>70</v>
      </c>
      <c r="D127" s="4">
        <v>0.13</v>
      </c>
      <c r="E127" s="4">
        <v>0.16</v>
      </c>
      <c r="H127" s="4">
        <f>E127</f>
        <v>0.16</v>
      </c>
      <c r="I127" s="4">
        <f>ROUND(E127+0.33*ABS(E127),2)</f>
        <v>0.21</v>
      </c>
    </row>
    <row r="128" spans="1:9" x14ac:dyDescent="0.35">
      <c r="B128" s="4" t="s">
        <v>18</v>
      </c>
      <c r="C128" s="4" t="s">
        <v>56</v>
      </c>
      <c r="D128" s="4">
        <v>0.81</v>
      </c>
      <c r="E128" s="4">
        <v>1</v>
      </c>
      <c r="H128" s="4">
        <f>E128</f>
        <v>1</v>
      </c>
      <c r="I128" s="4">
        <f>ROUND(E128+0.33*ABS(E128),2)</f>
        <v>1.33</v>
      </c>
    </row>
    <row r="129" spans="1:9" x14ac:dyDescent="0.35">
      <c r="B129" s="4" t="s">
        <v>18</v>
      </c>
      <c r="C129" s="4" t="s">
        <v>52</v>
      </c>
      <c r="D129" s="5" t="s">
        <v>87</v>
      </c>
      <c r="H129" s="5" t="str">
        <f>D129</f>
        <v>{"abilityKey": "Heal_Base", "levelChange": 2}</v>
      </c>
    </row>
    <row r="130" spans="1:9" x14ac:dyDescent="0.35">
      <c r="B130" s="4" t="s">
        <v>18</v>
      </c>
      <c r="C130" s="4" t="s">
        <v>88</v>
      </c>
      <c r="D130" s="5" t="s">
        <v>89</v>
      </c>
      <c r="H130" s="5" t="str">
        <f>D130</f>
        <v>{"chance": {"min": 0.2, "max": 0.5, "step": 0.05}, "amount": {"min": 2.0, "max": 2.0, "step": 0.0}}</v>
      </c>
    </row>
    <row r="132" spans="1:9" x14ac:dyDescent="0.35">
      <c r="A132" s="2" t="s">
        <v>90</v>
      </c>
      <c r="G132" s="3" t="s">
        <v>91</v>
      </c>
    </row>
    <row r="133" spans="1:9" x14ac:dyDescent="0.35">
      <c r="B133" s="4" t="s">
        <v>11</v>
      </c>
      <c r="C133" s="4" t="s">
        <v>12</v>
      </c>
      <c r="D133" s="4">
        <v>12339</v>
      </c>
      <c r="E133" s="4">
        <v>14538</v>
      </c>
      <c r="H133" s="4">
        <f t="shared" ref="H133:H138" si="8">E133</f>
        <v>14538</v>
      </c>
      <c r="I133" s="4">
        <f>ROUND(E133+0.33*ABS(E133),0)</f>
        <v>19336</v>
      </c>
    </row>
    <row r="134" spans="1:9" x14ac:dyDescent="0.35">
      <c r="B134" s="4" t="s">
        <v>13</v>
      </c>
      <c r="C134" s="4" t="s">
        <v>46</v>
      </c>
      <c r="D134" s="4">
        <v>28</v>
      </c>
      <c r="E134" s="4">
        <v>30</v>
      </c>
      <c r="H134" s="4">
        <f t="shared" si="8"/>
        <v>30</v>
      </c>
      <c r="I134" s="4">
        <f>ROUND(E134+0.33*ABS(E134),0)</f>
        <v>40</v>
      </c>
    </row>
    <row r="135" spans="1:9" x14ac:dyDescent="0.35">
      <c r="B135" s="4" t="s">
        <v>13</v>
      </c>
      <c r="C135" s="4" t="s">
        <v>92</v>
      </c>
      <c r="D135" s="4">
        <v>51</v>
      </c>
      <c r="E135" s="4">
        <v>60</v>
      </c>
      <c r="H135" s="4">
        <f t="shared" si="8"/>
        <v>60</v>
      </c>
      <c r="I135" s="4">
        <f>ROUND(E135+0.33*ABS(E135),0)</f>
        <v>80</v>
      </c>
    </row>
    <row r="136" spans="1:9" x14ac:dyDescent="0.35">
      <c r="B136" s="4" t="s">
        <v>16</v>
      </c>
      <c r="C136" s="4" t="s">
        <v>46</v>
      </c>
      <c r="D136" s="4">
        <v>8</v>
      </c>
      <c r="E136" s="4">
        <v>10</v>
      </c>
      <c r="H136" s="4">
        <f t="shared" si="8"/>
        <v>10</v>
      </c>
      <c r="I136" s="4">
        <f>ROUND(E136+0.33*ABS(E136),0)</f>
        <v>13</v>
      </c>
    </row>
    <row r="137" spans="1:9" x14ac:dyDescent="0.35">
      <c r="B137" s="4" t="s">
        <v>16</v>
      </c>
      <c r="C137" s="4" t="s">
        <v>70</v>
      </c>
      <c r="D137" s="4">
        <v>0.13</v>
      </c>
      <c r="E137" s="4">
        <v>0.16</v>
      </c>
      <c r="H137" s="4">
        <f t="shared" si="8"/>
        <v>0.16</v>
      </c>
      <c r="I137" s="4">
        <f>ROUND(E137+0.33*ABS(E137),2)</f>
        <v>0.21</v>
      </c>
    </row>
    <row r="138" spans="1:9" x14ac:dyDescent="0.35">
      <c r="B138" s="4" t="s">
        <v>16</v>
      </c>
      <c r="C138" s="4" t="s">
        <v>71</v>
      </c>
      <c r="D138" s="4">
        <v>0.5</v>
      </c>
      <c r="E138" s="4">
        <v>1</v>
      </c>
      <c r="H138" s="4">
        <f t="shared" si="8"/>
        <v>1</v>
      </c>
      <c r="I138" s="4">
        <f>ROUND(E138+0.33*ABS(E138),2)</f>
        <v>1.33</v>
      </c>
    </row>
    <row r="139" spans="1:9" x14ac:dyDescent="0.35">
      <c r="B139" s="4" t="s">
        <v>18</v>
      </c>
      <c r="C139" s="4" t="s">
        <v>93</v>
      </c>
      <c r="D139" s="5" t="s">
        <v>94</v>
      </c>
      <c r="H139" s="5" t="str">
        <f>D139</f>
        <v>{"flag": true}</v>
      </c>
    </row>
    <row r="140" spans="1:9" x14ac:dyDescent="0.35">
      <c r="B140" s="4" t="s">
        <v>18</v>
      </c>
      <c r="C140" s="4" t="s">
        <v>48</v>
      </c>
      <c r="D140" s="4">
        <v>0.2</v>
      </c>
      <c r="E140" s="4">
        <v>0.3</v>
      </c>
      <c r="H140" s="4">
        <f>E140</f>
        <v>0.3</v>
      </c>
      <c r="I140" s="4">
        <f>ROUND(E140+0.33*ABS(E140),2)</f>
        <v>0.4</v>
      </c>
    </row>
    <row r="142" spans="1:9" x14ac:dyDescent="0.35">
      <c r="A142" s="2" t="s">
        <v>95</v>
      </c>
      <c r="G142" s="3" t="s">
        <v>96</v>
      </c>
    </row>
    <row r="143" spans="1:9" x14ac:dyDescent="0.35">
      <c r="B143" s="4" t="s">
        <v>11</v>
      </c>
      <c r="C143" s="4" t="s">
        <v>12</v>
      </c>
      <c r="D143" s="4">
        <v>12339</v>
      </c>
      <c r="E143" s="4">
        <v>14538</v>
      </c>
      <c r="H143" s="4">
        <f>E143</f>
        <v>14538</v>
      </c>
      <c r="I143" s="4">
        <f>ROUND(E143+0.33*ABS(E143),0)</f>
        <v>19336</v>
      </c>
    </row>
    <row r="144" spans="1:9" x14ac:dyDescent="0.35">
      <c r="B144" s="4" t="s">
        <v>13</v>
      </c>
      <c r="C144" s="4" t="s">
        <v>46</v>
      </c>
      <c r="D144" s="4">
        <v>28</v>
      </c>
      <c r="E144" s="4">
        <v>30</v>
      </c>
      <c r="H144" s="4">
        <f>E144</f>
        <v>30</v>
      </c>
      <c r="I144" s="4">
        <f>ROUND(E144+0.33*ABS(E144),0)</f>
        <v>40</v>
      </c>
    </row>
    <row r="145" spans="1:9" x14ac:dyDescent="0.35">
      <c r="B145" s="4" t="s">
        <v>16</v>
      </c>
      <c r="C145" s="4" t="s">
        <v>97</v>
      </c>
      <c r="D145" s="4">
        <v>0.21</v>
      </c>
      <c r="E145" s="4">
        <v>0.3</v>
      </c>
      <c r="H145" s="4">
        <f>E145</f>
        <v>0.3</v>
      </c>
      <c r="I145" s="4">
        <f>ROUND(E145+0.33*ABS(E145),2)</f>
        <v>0.4</v>
      </c>
    </row>
    <row r="146" spans="1:9" x14ac:dyDescent="0.35">
      <c r="B146" s="4" t="s">
        <v>16</v>
      </c>
      <c r="C146" s="4" t="s">
        <v>71</v>
      </c>
      <c r="D146" s="4">
        <v>0.5</v>
      </c>
      <c r="E146" s="4">
        <v>1</v>
      </c>
      <c r="H146" s="4">
        <f>E146</f>
        <v>1</v>
      </c>
      <c r="I146" s="4">
        <f>ROUND(E146+0.33*ABS(E146),2)</f>
        <v>1.33</v>
      </c>
    </row>
    <row r="147" spans="1:9" x14ac:dyDescent="0.35">
      <c r="B147" s="4" t="s">
        <v>18</v>
      </c>
      <c r="C147" s="4" t="s">
        <v>98</v>
      </c>
      <c r="D147" s="5" t="s">
        <v>99</v>
      </c>
      <c r="H147" s="5" t="str">
        <f>D147</f>
        <v>{"effectKeys": ["minecraft:poison", "minecraft:wither", "minecraft:levitation", "minecraft:slowness", "minecraft:blindness", "minecraft:hunger", "the_vault:bleed"], "name": "the_vault.gear_attribute.effect_avoidance.avoidance.bad_effects", "minChance": 0.71, "maxChance": 1.0, "step": 0.01}</v>
      </c>
    </row>
    <row r="148" spans="1:9" x14ac:dyDescent="0.35">
      <c r="B148" s="4" t="s">
        <v>18</v>
      </c>
      <c r="C148" s="4" t="s">
        <v>56</v>
      </c>
      <c r="D148" s="4">
        <v>0.81</v>
      </c>
      <c r="E148" s="4">
        <v>1</v>
      </c>
      <c r="H148" s="4">
        <f>E148</f>
        <v>1</v>
      </c>
      <c r="I148" s="4">
        <f>ROUND(E148+0.33*ABS(E148),2)</f>
        <v>1.33</v>
      </c>
    </row>
    <row r="150" spans="1:9" x14ac:dyDescent="0.35">
      <c r="A150" s="2" t="s">
        <v>100</v>
      </c>
      <c r="G150" s="3" t="s">
        <v>101</v>
      </c>
    </row>
    <row r="151" spans="1:9" x14ac:dyDescent="0.35">
      <c r="B151" s="4" t="s">
        <v>11</v>
      </c>
      <c r="C151" s="4" t="s">
        <v>12</v>
      </c>
      <c r="D151" s="4">
        <v>12339</v>
      </c>
      <c r="E151" s="4">
        <v>14538</v>
      </c>
      <c r="H151" s="4">
        <f>E151</f>
        <v>14538</v>
      </c>
      <c r="I151" s="4">
        <f>ROUND(E151+0.33*ABS(E151),0)</f>
        <v>19336</v>
      </c>
    </row>
    <row r="152" spans="1:9" x14ac:dyDescent="0.35">
      <c r="B152" s="4" t="s">
        <v>13</v>
      </c>
      <c r="C152" s="4" t="s">
        <v>46</v>
      </c>
      <c r="D152" s="4">
        <v>28</v>
      </c>
      <c r="E152" s="4">
        <v>30</v>
      </c>
      <c r="H152" s="4">
        <f>E152</f>
        <v>30</v>
      </c>
      <c r="I152" s="4">
        <f>ROUND(E152+0.33*ABS(E152),0)</f>
        <v>40</v>
      </c>
    </row>
    <row r="153" spans="1:9" x14ac:dyDescent="0.35">
      <c r="B153" s="4" t="s">
        <v>13</v>
      </c>
      <c r="C153" s="4" t="s">
        <v>102</v>
      </c>
      <c r="D153" s="5" t="s">
        <v>37</v>
      </c>
      <c r="H153" s="6"/>
    </row>
    <row r="154" spans="1:9" x14ac:dyDescent="0.35">
      <c r="B154" s="4" t="s">
        <v>16</v>
      </c>
      <c r="C154" s="4" t="s">
        <v>52</v>
      </c>
      <c r="D154" s="5" t="s">
        <v>103</v>
      </c>
      <c r="H154" s="5" t="str">
        <f>D154</f>
        <v>{"abilityKey": "Stonefall_Cold", "levelChange": 1}</v>
      </c>
    </row>
    <row r="155" spans="1:9" x14ac:dyDescent="0.35">
      <c r="B155" s="4" t="s">
        <v>16</v>
      </c>
      <c r="C155" s="4" t="s">
        <v>46</v>
      </c>
      <c r="D155" s="4">
        <v>8</v>
      </c>
      <c r="E155" s="4">
        <v>10</v>
      </c>
      <c r="H155" s="4">
        <f>E155</f>
        <v>10</v>
      </c>
      <c r="I155" s="4">
        <f>ROUND(E155+0.33*ABS(E155),0)</f>
        <v>13</v>
      </c>
    </row>
    <row r="156" spans="1:9" x14ac:dyDescent="0.35">
      <c r="B156" s="4" t="s">
        <v>18</v>
      </c>
      <c r="C156" s="4" t="s">
        <v>104</v>
      </c>
      <c r="D156" s="5" t="s">
        <v>105</v>
      </c>
      <c r="H156" s="5" t="str">
        <f>D156</f>
        <v>{"effectId": "the_vault:chilled", "durationTicks": {"min": 60, "max": 160, "step": 20}}</v>
      </c>
    </row>
    <row r="158" spans="1:9" x14ac:dyDescent="0.35">
      <c r="A158" s="2" t="s">
        <v>106</v>
      </c>
      <c r="G158" s="3" t="s">
        <v>107</v>
      </c>
    </row>
    <row r="159" spans="1:9" x14ac:dyDescent="0.35">
      <c r="B159" s="4" t="s">
        <v>11</v>
      </c>
      <c r="C159" s="4" t="s">
        <v>12</v>
      </c>
      <c r="D159" s="4">
        <v>12339</v>
      </c>
      <c r="E159" s="4">
        <v>14538</v>
      </c>
      <c r="H159" s="4">
        <f>E159</f>
        <v>14538</v>
      </c>
      <c r="I159" s="4">
        <f>ROUND(E159+0.33*ABS(E159),0)</f>
        <v>19336</v>
      </c>
    </row>
    <row r="160" spans="1:9" x14ac:dyDescent="0.35">
      <c r="B160" s="4" t="s">
        <v>13</v>
      </c>
      <c r="C160" s="4" t="s">
        <v>97</v>
      </c>
      <c r="D160" s="4">
        <v>0.31</v>
      </c>
      <c r="E160" s="4">
        <v>0.35</v>
      </c>
      <c r="H160" s="4">
        <f>E160</f>
        <v>0.35</v>
      </c>
      <c r="I160" s="4">
        <f>ROUND(E160+0.33*ABS(E160),2)</f>
        <v>0.47</v>
      </c>
    </row>
    <row r="161" spans="1:9" x14ac:dyDescent="0.35">
      <c r="B161" s="4" t="s">
        <v>16</v>
      </c>
      <c r="C161" s="4" t="s">
        <v>71</v>
      </c>
      <c r="D161" s="4">
        <v>0.5</v>
      </c>
      <c r="E161" s="4">
        <v>1</v>
      </c>
      <c r="H161" s="4">
        <f>E161</f>
        <v>1</v>
      </c>
      <c r="I161" s="4">
        <f>ROUND(E161+0.33*ABS(E161),2)</f>
        <v>1.33</v>
      </c>
    </row>
    <row r="162" spans="1:9" x14ac:dyDescent="0.35">
      <c r="B162" s="4" t="s">
        <v>18</v>
      </c>
      <c r="C162" s="4" t="s">
        <v>52</v>
      </c>
      <c r="D162" s="5" t="s">
        <v>108</v>
      </c>
      <c r="H162" s="5" t="str">
        <f>D162</f>
        <v>{"abilityKey": "Empower_Slowness_Aura", "levelChange": 1}</v>
      </c>
    </row>
    <row r="164" spans="1:9" x14ac:dyDescent="0.35">
      <c r="A164" s="2" t="s">
        <v>109</v>
      </c>
      <c r="G164" s="3" t="s">
        <v>110</v>
      </c>
    </row>
    <row r="165" spans="1:9" x14ac:dyDescent="0.35">
      <c r="B165" s="4" t="s">
        <v>11</v>
      </c>
      <c r="C165" s="4" t="s">
        <v>12</v>
      </c>
      <c r="D165" s="4">
        <v>12339</v>
      </c>
      <c r="E165" s="4">
        <v>14538</v>
      </c>
      <c r="H165" s="4">
        <f>E165</f>
        <v>14538</v>
      </c>
      <c r="I165" s="4">
        <f>ROUND(E165+0.33*ABS(E165),0)</f>
        <v>19336</v>
      </c>
    </row>
    <row r="166" spans="1:9" x14ac:dyDescent="0.35">
      <c r="B166" s="4" t="s">
        <v>13</v>
      </c>
      <c r="C166" s="4" t="s">
        <v>111</v>
      </c>
      <c r="D166" s="4">
        <v>0.26</v>
      </c>
      <c r="E166" s="4">
        <v>0.4</v>
      </c>
      <c r="H166" s="4">
        <f>E166</f>
        <v>0.4</v>
      </c>
      <c r="I166" s="4">
        <f>ROUND(E166+0.33*ABS(E166),2)</f>
        <v>0.53</v>
      </c>
    </row>
    <row r="167" spans="1:9" x14ac:dyDescent="0.35">
      <c r="B167" s="4" t="s">
        <v>16</v>
      </c>
      <c r="C167" s="4" t="s">
        <v>20</v>
      </c>
      <c r="D167" s="4">
        <v>0.21</v>
      </c>
      <c r="E167" s="4">
        <v>0.25</v>
      </c>
      <c r="H167" s="4">
        <f>E167</f>
        <v>0.25</v>
      </c>
      <c r="I167" s="4">
        <f>ROUND(E167+0.33*ABS(E167),2)</f>
        <v>0.33</v>
      </c>
    </row>
    <row r="168" spans="1:9" x14ac:dyDescent="0.35">
      <c r="B168" s="4" t="s">
        <v>18</v>
      </c>
      <c r="C168" s="4" t="s">
        <v>112</v>
      </c>
      <c r="D168" s="4">
        <v>0.4</v>
      </c>
      <c r="E168" s="4">
        <v>1.2</v>
      </c>
      <c r="H168" s="4">
        <f>E168</f>
        <v>1.2</v>
      </c>
      <c r="I168" s="4">
        <f>ROUND(E168+0.33*ABS(E168),2)</f>
        <v>1.6</v>
      </c>
    </row>
    <row r="170" spans="1:9" x14ac:dyDescent="0.35">
      <c r="A170" s="2" t="s">
        <v>113</v>
      </c>
      <c r="G170" s="3" t="s">
        <v>114</v>
      </c>
    </row>
    <row r="171" spans="1:9" x14ac:dyDescent="0.35">
      <c r="B171" s="4" t="s">
        <v>11</v>
      </c>
      <c r="C171" s="4" t="s">
        <v>12</v>
      </c>
      <c r="D171" s="4">
        <v>12339</v>
      </c>
      <c r="E171" s="4">
        <v>14538</v>
      </c>
      <c r="H171" s="4">
        <f>E171</f>
        <v>14538</v>
      </c>
      <c r="I171" s="4">
        <f>ROUND(E171+0.33*ABS(E171),0)</f>
        <v>19336</v>
      </c>
    </row>
    <row r="172" spans="1:9" x14ac:dyDescent="0.35">
      <c r="B172" s="4" t="s">
        <v>16</v>
      </c>
      <c r="C172" s="4" t="s">
        <v>52</v>
      </c>
      <c r="D172" s="5" t="s">
        <v>115</v>
      </c>
      <c r="H172" s="5" t="str">
        <f>D172</f>
        <v>{"abilityKey": "Taunt_Repel", "levelChange": 8}</v>
      </c>
    </row>
    <row r="173" spans="1:9" x14ac:dyDescent="0.35">
      <c r="B173" s="4" t="s">
        <v>18</v>
      </c>
      <c r="C173" s="4" t="s">
        <v>54</v>
      </c>
      <c r="D173" s="4">
        <v>0.61</v>
      </c>
      <c r="E173" s="4">
        <v>1</v>
      </c>
      <c r="H173" s="4">
        <f>E173</f>
        <v>1</v>
      </c>
      <c r="I173" s="4">
        <f>ROUND(E173+0.33*ABS(E173),2)</f>
        <v>1.33</v>
      </c>
    </row>
    <row r="175" spans="1:9" x14ac:dyDescent="0.35">
      <c r="A175" s="2" t="s">
        <v>116</v>
      </c>
      <c r="G175" s="3" t="s">
        <v>117</v>
      </c>
    </row>
    <row r="176" spans="1:9" x14ac:dyDescent="0.35">
      <c r="B176" s="4" t="s">
        <v>11</v>
      </c>
      <c r="C176" s="4" t="s">
        <v>12</v>
      </c>
      <c r="D176" s="4">
        <v>12339</v>
      </c>
      <c r="E176" s="4">
        <v>14538</v>
      </c>
      <c r="H176" s="4">
        <f>E176</f>
        <v>14538</v>
      </c>
      <c r="I176" s="4">
        <f>ROUND(E176+0.33*ABS(E176),0)</f>
        <v>19336</v>
      </c>
    </row>
    <row r="177" spans="1:9" x14ac:dyDescent="0.35">
      <c r="B177" s="4" t="s">
        <v>13</v>
      </c>
      <c r="C177" s="4" t="s">
        <v>118</v>
      </c>
      <c r="D177" s="4">
        <v>41</v>
      </c>
      <c r="E177" s="4">
        <v>50</v>
      </c>
      <c r="H177" s="4">
        <f>E177</f>
        <v>50</v>
      </c>
      <c r="I177" s="4">
        <f>ROUND(E177+0.33*ABS(E177),2)</f>
        <v>66.5</v>
      </c>
    </row>
    <row r="178" spans="1:9" x14ac:dyDescent="0.35">
      <c r="B178" s="4" t="s">
        <v>16</v>
      </c>
      <c r="C178" s="4" t="s">
        <v>118</v>
      </c>
      <c r="D178" s="4">
        <v>41</v>
      </c>
      <c r="E178" s="4">
        <v>50</v>
      </c>
      <c r="H178" s="4">
        <f>E178</f>
        <v>50</v>
      </c>
      <c r="I178" s="4">
        <f>ROUND(E178+0.33*ABS(E178),2)</f>
        <v>66.5</v>
      </c>
    </row>
    <row r="179" spans="1:9" x14ac:dyDescent="0.35">
      <c r="B179" s="4" t="s">
        <v>16</v>
      </c>
      <c r="C179" s="4" t="s">
        <v>119</v>
      </c>
      <c r="D179" s="5" t="s">
        <v>94</v>
      </c>
      <c r="H179" s="5" t="str">
        <f>D179</f>
        <v>{"flag": true}</v>
      </c>
    </row>
    <row r="180" spans="1:9" x14ac:dyDescent="0.35">
      <c r="B180" s="4" t="s">
        <v>18</v>
      </c>
      <c r="C180" s="4" t="s">
        <v>60</v>
      </c>
      <c r="D180" s="4">
        <v>0.28999999999999998</v>
      </c>
      <c r="E180" s="4">
        <v>0.35</v>
      </c>
      <c r="H180" s="4">
        <f>E180</f>
        <v>0.35</v>
      </c>
      <c r="I180" s="4">
        <f>ROUND(E180+0.33*ABS(E180),2)</f>
        <v>0.47</v>
      </c>
    </row>
    <row r="181" spans="1:9" x14ac:dyDescent="0.35">
      <c r="B181" s="4" t="s">
        <v>18</v>
      </c>
      <c r="C181" s="4" t="s">
        <v>47</v>
      </c>
      <c r="D181" s="4">
        <v>0.06</v>
      </c>
      <c r="E181" s="4">
        <v>0.1</v>
      </c>
      <c r="H181" s="4">
        <f>E181</f>
        <v>0.1</v>
      </c>
      <c r="I181" s="4">
        <f>ROUND(E181+0.33*ABS(E181),2)</f>
        <v>0.13</v>
      </c>
    </row>
    <row r="183" spans="1:9" x14ac:dyDescent="0.35">
      <c r="A183" s="2" t="s">
        <v>120</v>
      </c>
      <c r="G183" s="3" t="s">
        <v>121</v>
      </c>
    </row>
    <row r="184" spans="1:9" x14ac:dyDescent="0.35">
      <c r="B184" s="4" t="s">
        <v>11</v>
      </c>
      <c r="C184" s="4" t="s">
        <v>12</v>
      </c>
      <c r="D184" s="4">
        <v>12339</v>
      </c>
      <c r="E184" s="4">
        <v>14538</v>
      </c>
      <c r="H184" s="4">
        <f>E184</f>
        <v>14538</v>
      </c>
      <c r="I184" s="4">
        <f>ROUND(E184+0.33*ABS(E184),0)</f>
        <v>19336</v>
      </c>
    </row>
    <row r="185" spans="1:9" x14ac:dyDescent="0.35">
      <c r="B185" s="4" t="s">
        <v>13</v>
      </c>
      <c r="C185" s="4" t="s">
        <v>111</v>
      </c>
      <c r="D185" s="4">
        <v>0.26</v>
      </c>
      <c r="E185" s="4">
        <v>0.4</v>
      </c>
      <c r="H185" s="4">
        <f>E185</f>
        <v>0.4</v>
      </c>
      <c r="I185" s="4">
        <f>ROUND(E185+0.33*ABS(E185),2)</f>
        <v>0.53</v>
      </c>
    </row>
    <row r="186" spans="1:9" x14ac:dyDescent="0.35">
      <c r="B186" s="4" t="s">
        <v>16</v>
      </c>
      <c r="C186" s="4" t="s">
        <v>71</v>
      </c>
      <c r="D186" s="4">
        <v>0.5</v>
      </c>
      <c r="E186" s="4">
        <v>1</v>
      </c>
      <c r="H186" s="4">
        <f>E186</f>
        <v>1</v>
      </c>
      <c r="I186" s="4">
        <f>ROUND(E186+0.33*ABS(E186),2)</f>
        <v>1.33</v>
      </c>
    </row>
    <row r="187" spans="1:9" x14ac:dyDescent="0.35">
      <c r="B187" s="4" t="s">
        <v>18</v>
      </c>
      <c r="C187" s="4" t="s">
        <v>122</v>
      </c>
      <c r="D187" s="4">
        <v>7</v>
      </c>
      <c r="E187" s="4">
        <v>12</v>
      </c>
      <c r="H187" s="4">
        <f>E187</f>
        <v>12</v>
      </c>
      <c r="I187" s="4">
        <f>ROUND(E187+0.33*ABS(E187),0)</f>
        <v>16</v>
      </c>
    </row>
    <row r="189" spans="1:9" x14ac:dyDescent="0.35">
      <c r="A189" s="2" t="s">
        <v>123</v>
      </c>
      <c r="G189" s="3" t="s">
        <v>124</v>
      </c>
    </row>
    <row r="190" spans="1:9" x14ac:dyDescent="0.35">
      <c r="B190" s="4" t="s">
        <v>11</v>
      </c>
      <c r="C190" s="4" t="s">
        <v>12</v>
      </c>
      <c r="D190" s="4">
        <v>12339</v>
      </c>
      <c r="E190" s="4">
        <v>14538</v>
      </c>
      <c r="H190" s="4">
        <f>E190</f>
        <v>14538</v>
      </c>
      <c r="I190" s="4">
        <f>ROUND(E190+0.33*ABS(E190),0)</f>
        <v>19336</v>
      </c>
    </row>
    <row r="191" spans="1:9" x14ac:dyDescent="0.35">
      <c r="B191" s="4" t="s">
        <v>13</v>
      </c>
      <c r="C191" s="4" t="s">
        <v>111</v>
      </c>
      <c r="D191" s="4">
        <v>0.26</v>
      </c>
      <c r="E191" s="4">
        <v>0.4</v>
      </c>
      <c r="H191" s="4">
        <f>E191</f>
        <v>0.4</v>
      </c>
      <c r="I191" s="4">
        <f>ROUND(E191+0.33*ABS(E191),2)</f>
        <v>0.53</v>
      </c>
    </row>
    <row r="192" spans="1:9" x14ac:dyDescent="0.35">
      <c r="B192" s="4" t="s">
        <v>16</v>
      </c>
      <c r="C192" s="4" t="s">
        <v>125</v>
      </c>
      <c r="D192" s="5" t="s">
        <v>37</v>
      </c>
      <c r="H192" s="6"/>
    </row>
    <row r="193" spans="1:9" x14ac:dyDescent="0.35">
      <c r="B193" s="4" t="s">
        <v>18</v>
      </c>
      <c r="C193" s="4" t="s">
        <v>126</v>
      </c>
      <c r="D193" s="4">
        <v>0.2</v>
      </c>
      <c r="E193" s="4">
        <v>0.5</v>
      </c>
      <c r="H193" s="4">
        <f>E193</f>
        <v>0.5</v>
      </c>
      <c r="I193" s="4">
        <f>ROUND(E193+0.33*ABS(E193),2)</f>
        <v>0.67</v>
      </c>
    </row>
    <row r="195" spans="1:9" x14ac:dyDescent="0.35">
      <c r="A195" s="2" t="s">
        <v>127</v>
      </c>
      <c r="G195" s="3" t="s">
        <v>128</v>
      </c>
    </row>
    <row r="196" spans="1:9" x14ac:dyDescent="0.35">
      <c r="B196" s="4" t="s">
        <v>11</v>
      </c>
      <c r="C196" s="4" t="s">
        <v>12</v>
      </c>
      <c r="D196" s="4">
        <v>12339</v>
      </c>
      <c r="E196" s="4">
        <v>14538</v>
      </c>
      <c r="H196" s="4">
        <f>E196</f>
        <v>14538</v>
      </c>
      <c r="I196" s="4">
        <f>ROUND(E196+0.33*ABS(E196),0)</f>
        <v>19336</v>
      </c>
    </row>
    <row r="197" spans="1:9" x14ac:dyDescent="0.35">
      <c r="B197" s="4" t="s">
        <v>13</v>
      </c>
      <c r="C197" s="4" t="s">
        <v>111</v>
      </c>
      <c r="D197" s="4">
        <v>0.26</v>
      </c>
      <c r="E197" s="4">
        <v>0.4</v>
      </c>
      <c r="H197" s="4">
        <f>E197</f>
        <v>0.4</v>
      </c>
      <c r="I197" s="4">
        <f>ROUND(E197+0.33*ABS(E197),2)</f>
        <v>0.53</v>
      </c>
    </row>
    <row r="198" spans="1:9" x14ac:dyDescent="0.35">
      <c r="B198" s="4" t="s">
        <v>16</v>
      </c>
      <c r="C198" s="4" t="s">
        <v>60</v>
      </c>
      <c r="D198" s="4">
        <v>0.28999999999999998</v>
      </c>
      <c r="E198" s="4">
        <v>0.35</v>
      </c>
      <c r="H198" s="4">
        <f>E198</f>
        <v>0.35</v>
      </c>
      <c r="I198" s="4">
        <f>ROUND(E198+0.33*ABS(E198),2)</f>
        <v>0.47</v>
      </c>
    </row>
    <row r="199" spans="1:9" x14ac:dyDescent="0.35">
      <c r="B199" s="4" t="s">
        <v>16</v>
      </c>
      <c r="C199" s="4" t="s">
        <v>70</v>
      </c>
      <c r="D199" s="4">
        <v>0.13</v>
      </c>
      <c r="E199" s="4">
        <v>0.16</v>
      </c>
      <c r="H199" s="4">
        <f>E199</f>
        <v>0.16</v>
      </c>
      <c r="I199" s="4">
        <f>ROUND(E199+0.33*ABS(E199),2)</f>
        <v>0.21</v>
      </c>
    </row>
    <row r="200" spans="1:9" x14ac:dyDescent="0.35">
      <c r="B200" s="4" t="s">
        <v>18</v>
      </c>
      <c r="C200" s="4" t="s">
        <v>129</v>
      </c>
      <c r="D200" s="5" t="s">
        <v>130</v>
      </c>
      <c r="H200" s="5" t="str">
        <f>D200</f>
        <v>{"chance": {"min": 0.2, "max": 0.7, "step": 0.05}, "percentAttackDamage": {"min": 0.6, "max": 1.2, "step": 0.05}}</v>
      </c>
    </row>
    <row r="202" spans="1:9" x14ac:dyDescent="0.35">
      <c r="A202" s="2" t="s">
        <v>131</v>
      </c>
      <c r="G202" s="3" t="s">
        <v>132</v>
      </c>
    </row>
    <row r="203" spans="1:9" x14ac:dyDescent="0.35">
      <c r="B203" s="4" t="s">
        <v>11</v>
      </c>
      <c r="C203" s="4" t="s">
        <v>12</v>
      </c>
      <c r="D203" s="4">
        <v>12339</v>
      </c>
      <c r="E203" s="4">
        <v>14538</v>
      </c>
      <c r="H203" s="4">
        <f>E203</f>
        <v>14538</v>
      </c>
      <c r="I203" s="4">
        <f>ROUND(E203+0.33*ABS(E203),0)</f>
        <v>19336</v>
      </c>
    </row>
    <row r="204" spans="1:9" x14ac:dyDescent="0.35">
      <c r="B204" s="4" t="s">
        <v>16</v>
      </c>
      <c r="C204" s="4" t="s">
        <v>52</v>
      </c>
      <c r="D204" s="5" t="s">
        <v>133</v>
      </c>
      <c r="H204" s="5" t="str">
        <f>D204</f>
        <v>{"abilityKey": "Dash_Warp", "levelChange": 1}</v>
      </c>
    </row>
    <row r="205" spans="1:9" x14ac:dyDescent="0.35">
      <c r="B205" s="4" t="s">
        <v>16</v>
      </c>
      <c r="C205" s="4" t="s">
        <v>134</v>
      </c>
      <c r="D205" s="4">
        <v>0.1</v>
      </c>
      <c r="E205" s="4">
        <v>0.25</v>
      </c>
      <c r="H205" s="4">
        <f>E205</f>
        <v>0.25</v>
      </c>
      <c r="I205" s="4">
        <f>ROUND(E205+0.33*ABS(E205),2)</f>
        <v>0.33</v>
      </c>
    </row>
    <row r="206" spans="1:9" x14ac:dyDescent="0.35">
      <c r="B206" s="4" t="s">
        <v>18</v>
      </c>
      <c r="C206" s="4" t="s">
        <v>55</v>
      </c>
      <c r="D206" s="4">
        <v>-0.26</v>
      </c>
      <c r="E206" s="4">
        <v>-0.5</v>
      </c>
      <c r="H206" s="4">
        <f>E206</f>
        <v>-0.5</v>
      </c>
      <c r="I206" s="4">
        <f>ROUND(E206+0.33*ABS(E206),2)</f>
        <v>-0.34</v>
      </c>
    </row>
    <row r="207" spans="1:9" x14ac:dyDescent="0.35">
      <c r="B207" s="4" t="s">
        <v>18</v>
      </c>
      <c r="C207" s="4" t="s">
        <v>56</v>
      </c>
      <c r="D207" s="4">
        <v>0.81</v>
      </c>
      <c r="E207" s="4">
        <v>1</v>
      </c>
      <c r="H207" s="4">
        <f>E207</f>
        <v>1</v>
      </c>
      <c r="I207" s="4">
        <f>ROUND(E207+0.33*ABS(E207),2)</f>
        <v>1.33</v>
      </c>
    </row>
    <row r="209" spans="1:9" x14ac:dyDescent="0.35">
      <c r="A209" s="2" t="s">
        <v>135</v>
      </c>
      <c r="G209" s="3" t="s">
        <v>136</v>
      </c>
    </row>
    <row r="210" spans="1:9" x14ac:dyDescent="0.35">
      <c r="B210" s="4" t="s">
        <v>11</v>
      </c>
      <c r="C210" s="4" t="s">
        <v>12</v>
      </c>
      <c r="D210" s="4">
        <v>9202</v>
      </c>
      <c r="E210" s="4">
        <v>10501</v>
      </c>
      <c r="H210" s="4">
        <f>E210</f>
        <v>10501</v>
      </c>
      <c r="I210" s="4">
        <f>ROUND(E210+0.33*ABS(E210),0)</f>
        <v>13966</v>
      </c>
    </row>
    <row r="211" spans="1:9" x14ac:dyDescent="0.35">
      <c r="B211" s="4" t="s">
        <v>13</v>
      </c>
      <c r="C211" s="4" t="s">
        <v>92</v>
      </c>
      <c r="D211" s="4">
        <v>91</v>
      </c>
      <c r="E211" s="4">
        <v>100</v>
      </c>
      <c r="H211" s="4">
        <f>E211</f>
        <v>100</v>
      </c>
      <c r="I211" s="4">
        <f>ROUND(E211+0.33*ABS(E211),0)</f>
        <v>133</v>
      </c>
    </row>
    <row r="212" spans="1:9" x14ac:dyDescent="0.35">
      <c r="B212" s="4" t="s">
        <v>16</v>
      </c>
      <c r="C212" s="4" t="s">
        <v>52</v>
      </c>
      <c r="D212" s="5" t="s">
        <v>79</v>
      </c>
      <c r="H212" s="5" t="str">
        <f>D212</f>
        <v>{"abilityKey": "Nova_Slow", "levelChange": 2}</v>
      </c>
    </row>
    <row r="213" spans="1:9" x14ac:dyDescent="0.35">
      <c r="B213" s="4" t="s">
        <v>16</v>
      </c>
      <c r="C213" s="4" t="s">
        <v>122</v>
      </c>
      <c r="D213" s="4">
        <v>5</v>
      </c>
      <c r="E213" s="4">
        <v>6</v>
      </c>
      <c r="H213" s="4">
        <f>E213</f>
        <v>6</v>
      </c>
      <c r="I213" s="4">
        <f>ROUND(E213+0.33*ABS(E213),0)</f>
        <v>8</v>
      </c>
    </row>
    <row r="214" spans="1:9" x14ac:dyDescent="0.35">
      <c r="B214" s="4" t="s">
        <v>18</v>
      </c>
      <c r="C214" s="4" t="s">
        <v>47</v>
      </c>
      <c r="D214" s="4">
        <v>0.09</v>
      </c>
      <c r="E214" s="4">
        <v>0.12</v>
      </c>
      <c r="H214" s="4">
        <f>E214</f>
        <v>0.12</v>
      </c>
      <c r="I214" s="4">
        <f>ROUND(E214+0.33*ABS(E214),2)</f>
        <v>0.16</v>
      </c>
    </row>
    <row r="216" spans="1:9" x14ac:dyDescent="0.35">
      <c r="A216" s="2" t="s">
        <v>137</v>
      </c>
      <c r="G216" s="3" t="s">
        <v>138</v>
      </c>
    </row>
    <row r="217" spans="1:9" x14ac:dyDescent="0.35">
      <c r="B217" s="4" t="s">
        <v>11</v>
      </c>
      <c r="C217" s="4" t="s">
        <v>12</v>
      </c>
      <c r="D217" s="4">
        <v>9202</v>
      </c>
      <c r="E217" s="4">
        <v>10501</v>
      </c>
      <c r="H217" s="4">
        <f>E217</f>
        <v>10501</v>
      </c>
      <c r="I217" s="4">
        <f>ROUND(E217+0.33*ABS(E217),0)</f>
        <v>13966</v>
      </c>
    </row>
    <row r="218" spans="1:9" x14ac:dyDescent="0.35">
      <c r="B218" s="4" t="s">
        <v>13</v>
      </c>
      <c r="C218" s="4" t="s">
        <v>92</v>
      </c>
      <c r="D218" s="4">
        <v>91</v>
      </c>
      <c r="E218" s="4">
        <v>100</v>
      </c>
      <c r="H218" s="4">
        <f>E218</f>
        <v>100</v>
      </c>
      <c r="I218" s="4">
        <f>ROUND(E218+0.33*ABS(E218),0)</f>
        <v>133</v>
      </c>
    </row>
    <row r="219" spans="1:9" x14ac:dyDescent="0.35">
      <c r="B219" s="4" t="s">
        <v>16</v>
      </c>
      <c r="C219" s="4" t="s">
        <v>139</v>
      </c>
      <c r="D219" s="5" t="s">
        <v>37</v>
      </c>
      <c r="H219" s="6"/>
    </row>
    <row r="220" spans="1:9" x14ac:dyDescent="0.35">
      <c r="B220" s="4" t="s">
        <v>18</v>
      </c>
      <c r="C220" s="4" t="s">
        <v>56</v>
      </c>
      <c r="D220" s="4">
        <v>0.81</v>
      </c>
      <c r="E220" s="4">
        <v>1</v>
      </c>
      <c r="H220" s="4">
        <f>E220</f>
        <v>1</v>
      </c>
      <c r="I220" s="4">
        <f>ROUND(E220+0.33*ABS(E220),2)</f>
        <v>1.33</v>
      </c>
    </row>
    <row r="221" spans="1:9" x14ac:dyDescent="0.35">
      <c r="B221" s="4" t="s">
        <v>18</v>
      </c>
      <c r="C221" s="4" t="s">
        <v>140</v>
      </c>
      <c r="D221" s="4">
        <v>0.05</v>
      </c>
      <c r="E221" s="4">
        <v>0.2</v>
      </c>
      <c r="H221" s="4">
        <f>E221</f>
        <v>0.2</v>
      </c>
      <c r="I221" s="4">
        <f>ROUND(E221+0.33*ABS(E221),2)</f>
        <v>0.27</v>
      </c>
    </row>
    <row r="223" spans="1:9" x14ac:dyDescent="0.35">
      <c r="A223" s="2" t="s">
        <v>141</v>
      </c>
      <c r="G223" s="3" t="s">
        <v>142</v>
      </c>
    </row>
    <row r="224" spans="1:9" x14ac:dyDescent="0.35">
      <c r="B224" s="4" t="s">
        <v>11</v>
      </c>
      <c r="C224" s="4" t="s">
        <v>12</v>
      </c>
      <c r="D224" s="4">
        <v>12339</v>
      </c>
      <c r="E224" s="4">
        <v>14538</v>
      </c>
      <c r="H224" s="4">
        <f>E224</f>
        <v>14538</v>
      </c>
      <c r="I224" s="4">
        <f>ROUND(E224+0.33*ABS(E224),0)</f>
        <v>19336</v>
      </c>
    </row>
    <row r="225" spans="1:9" x14ac:dyDescent="0.35">
      <c r="B225" s="4" t="s">
        <v>18</v>
      </c>
      <c r="C225" s="4" t="s">
        <v>143</v>
      </c>
      <c r="D225" s="5" t="s">
        <v>144</v>
      </c>
      <c r="H225" s="5" t="str">
        <f>D225</f>
        <v>{"effectKey": "minecraft:saturation", "amplifier": 1}</v>
      </c>
    </row>
    <row r="227" spans="1:9" x14ac:dyDescent="0.35">
      <c r="A227" s="2" t="s">
        <v>145</v>
      </c>
      <c r="G227" s="3" t="s">
        <v>146</v>
      </c>
    </row>
    <row r="228" spans="1:9" x14ac:dyDescent="0.35">
      <c r="B228" s="4" t="s">
        <v>11</v>
      </c>
      <c r="C228" s="4" t="s">
        <v>12</v>
      </c>
      <c r="D228" s="4">
        <v>9202</v>
      </c>
      <c r="E228" s="4">
        <v>10501</v>
      </c>
      <c r="H228" s="4">
        <f>E228</f>
        <v>10501</v>
      </c>
      <c r="I228" s="4">
        <f>ROUND(E228+0.33*ABS(E228),0)</f>
        <v>13966</v>
      </c>
    </row>
    <row r="229" spans="1:9" x14ac:dyDescent="0.35">
      <c r="B229" s="4" t="s">
        <v>13</v>
      </c>
      <c r="C229" s="4" t="s">
        <v>147</v>
      </c>
      <c r="D229" s="5" t="s">
        <v>37</v>
      </c>
      <c r="H229" s="6"/>
    </row>
    <row r="231" spans="1:9" x14ac:dyDescent="0.35">
      <c r="A231" s="2" t="s">
        <v>148</v>
      </c>
      <c r="G231" s="3" t="s">
        <v>149</v>
      </c>
    </row>
    <row r="232" spans="1:9" x14ac:dyDescent="0.35">
      <c r="B232" s="4" t="s">
        <v>11</v>
      </c>
      <c r="C232" s="4" t="s">
        <v>12</v>
      </c>
      <c r="D232" s="4">
        <v>9202</v>
      </c>
      <c r="E232" s="4">
        <v>10501</v>
      </c>
      <c r="H232" s="4">
        <f>E232</f>
        <v>10501</v>
      </c>
      <c r="I232" s="4">
        <f>ROUND(E232+0.33*ABS(E232),0)</f>
        <v>13966</v>
      </c>
    </row>
    <row r="233" spans="1:9" x14ac:dyDescent="0.35">
      <c r="B233" s="4" t="s">
        <v>13</v>
      </c>
      <c r="C233" s="4" t="s">
        <v>17</v>
      </c>
      <c r="D233" s="4">
        <v>45</v>
      </c>
      <c r="E233" s="4">
        <v>50</v>
      </c>
      <c r="H233" s="4">
        <f>E233</f>
        <v>50</v>
      </c>
      <c r="I233" s="4">
        <f>ROUND(E233+0.33*ABS(E233),2)</f>
        <v>66.5</v>
      </c>
    </row>
    <row r="234" spans="1:9" x14ac:dyDescent="0.35">
      <c r="B234" s="4" t="s">
        <v>16</v>
      </c>
      <c r="C234" s="4" t="s">
        <v>150</v>
      </c>
      <c r="D234" s="4">
        <v>0.16</v>
      </c>
      <c r="E234" s="4">
        <v>0.2</v>
      </c>
      <c r="H234" s="4">
        <f>E234</f>
        <v>0.2</v>
      </c>
      <c r="I234" s="4">
        <f>ROUND(E234+0.33*ABS(E234),2)</f>
        <v>0.27</v>
      </c>
    </row>
    <row r="235" spans="1:9" x14ac:dyDescent="0.35">
      <c r="B235" s="4" t="s">
        <v>16</v>
      </c>
      <c r="C235" s="4" t="s">
        <v>52</v>
      </c>
      <c r="D235" s="5" t="s">
        <v>151</v>
      </c>
      <c r="H235" s="5" t="str">
        <f>D235</f>
        <v>{"abilityKey": "Fireball_Base", "levelChange": 2}</v>
      </c>
    </row>
    <row r="236" spans="1:9" x14ac:dyDescent="0.35">
      <c r="B236" s="4" t="s">
        <v>18</v>
      </c>
      <c r="C236" s="4" t="s">
        <v>54</v>
      </c>
      <c r="D236" s="4">
        <v>0.25</v>
      </c>
      <c r="E236" s="4">
        <v>0.5</v>
      </c>
      <c r="H236" s="4">
        <f>E236</f>
        <v>0.5</v>
      </c>
      <c r="I236" s="4">
        <f>ROUND(E236+0.33*ABS(E236),2)</f>
        <v>0.67</v>
      </c>
    </row>
    <row r="237" spans="1:9" x14ac:dyDescent="0.35">
      <c r="B237" s="4" t="s">
        <v>18</v>
      </c>
      <c r="C237" s="4" t="s">
        <v>61</v>
      </c>
      <c r="D237" s="4">
        <v>0.26</v>
      </c>
      <c r="E237" s="4">
        <v>0.28000000000000003</v>
      </c>
      <c r="H237" s="4">
        <f>E237</f>
        <v>0.28000000000000003</v>
      </c>
      <c r="I237" s="4">
        <f>ROUND(E237+0.33*ABS(E237),2)</f>
        <v>0.37</v>
      </c>
    </row>
    <row r="238" spans="1:9" x14ac:dyDescent="0.35">
      <c r="B238" s="4" t="s">
        <v>18</v>
      </c>
      <c r="C238" s="4" t="s">
        <v>76</v>
      </c>
      <c r="D238" s="4">
        <v>0.17</v>
      </c>
      <c r="E238" s="4">
        <v>0.2</v>
      </c>
      <c r="H238" s="4">
        <f>E238</f>
        <v>0.2</v>
      </c>
      <c r="I238" s="4">
        <f>ROUND(E238+0.33*ABS(E238),2)</f>
        <v>0.27</v>
      </c>
    </row>
    <row r="240" spans="1:9" x14ac:dyDescent="0.35">
      <c r="A240" s="2" t="s">
        <v>152</v>
      </c>
      <c r="G240" s="3" t="s">
        <v>153</v>
      </c>
    </row>
    <row r="241" spans="1:9" x14ac:dyDescent="0.35">
      <c r="B241" s="4" t="s">
        <v>13</v>
      </c>
      <c r="C241" s="4" t="s">
        <v>154</v>
      </c>
      <c r="D241" s="4">
        <v>10</v>
      </c>
      <c r="E241" s="4">
        <v>10</v>
      </c>
      <c r="H241" s="4">
        <f>E241</f>
        <v>10</v>
      </c>
      <c r="I241" s="4">
        <f>ROUND(E241+0.33*ABS(E241),0)</f>
        <v>13</v>
      </c>
    </row>
    <row r="242" spans="1:9" x14ac:dyDescent="0.35">
      <c r="B242" s="4" t="s">
        <v>16</v>
      </c>
      <c r="C242" s="4" t="s">
        <v>155</v>
      </c>
      <c r="D242" s="5" t="s">
        <v>94</v>
      </c>
      <c r="H242" s="5" t="str">
        <f>D242</f>
        <v>{"flag": true}</v>
      </c>
    </row>
    <row r="243" spans="1:9" x14ac:dyDescent="0.35">
      <c r="B243" s="4" t="s">
        <v>16</v>
      </c>
      <c r="C243" s="4" t="s">
        <v>156</v>
      </c>
      <c r="D243" s="5" t="s">
        <v>94</v>
      </c>
      <c r="H243" s="5" t="str">
        <f>D243</f>
        <v>{"flag": true}</v>
      </c>
    </row>
    <row r="244" spans="1:9" x14ac:dyDescent="0.35">
      <c r="B244" s="4" t="s">
        <v>16</v>
      </c>
      <c r="C244" s="4" t="s">
        <v>157</v>
      </c>
      <c r="D244" s="5" t="s">
        <v>94</v>
      </c>
      <c r="H244" s="5" t="str">
        <f>D244</f>
        <v>{"flag": true}</v>
      </c>
    </row>
    <row r="245" spans="1:9" x14ac:dyDescent="0.35">
      <c r="B245" s="4" t="s">
        <v>16</v>
      </c>
      <c r="C245" s="4" t="s">
        <v>158</v>
      </c>
      <c r="D245" s="5" t="s">
        <v>94</v>
      </c>
      <c r="H245" s="5" t="str">
        <f>D245</f>
        <v>{"flag": true}</v>
      </c>
    </row>
    <row r="246" spans="1:9" x14ac:dyDescent="0.35">
      <c r="B246" s="4" t="s">
        <v>16</v>
      </c>
      <c r="C246" s="4" t="s">
        <v>159</v>
      </c>
      <c r="D246" s="5" t="s">
        <v>94</v>
      </c>
      <c r="H246" s="5" t="str">
        <f>D246</f>
        <v>{"flag": true}</v>
      </c>
    </row>
    <row r="248" spans="1:9" x14ac:dyDescent="0.35">
      <c r="A248" s="2" t="s">
        <v>160</v>
      </c>
      <c r="G248" s="3" t="s">
        <v>161</v>
      </c>
    </row>
    <row r="249" spans="1:9" x14ac:dyDescent="0.35">
      <c r="B249" s="4" t="s">
        <v>13</v>
      </c>
      <c r="C249" s="4" t="s">
        <v>154</v>
      </c>
      <c r="D249" s="4">
        <v>10</v>
      </c>
      <c r="E249" s="4">
        <v>20</v>
      </c>
      <c r="H249" s="4">
        <f>E249</f>
        <v>20</v>
      </c>
      <c r="I249" s="4">
        <f>ROUND(E249+0.33*ABS(E249),0)</f>
        <v>27</v>
      </c>
    </row>
    <row r="250" spans="1:9" x14ac:dyDescent="0.35">
      <c r="B250" s="4" t="s">
        <v>16</v>
      </c>
      <c r="C250" s="4" t="s">
        <v>162</v>
      </c>
      <c r="D250" s="5" t="s">
        <v>163</v>
      </c>
      <c r="H250" s="5" t="str">
        <f>D250</f>
        <v>{"tileEntityGroupId": "the_vault:chest", "displayName": "Chests", "manaGenerationChance": {"min": 0.2, "max": 0.6, "step": 0.01}, "manaGenerated": {"min": 1, "max": 3, "step": 1}}</v>
      </c>
    </row>
    <row r="252" spans="1:9" x14ac:dyDescent="0.35">
      <c r="A252" s="2" t="s">
        <v>164</v>
      </c>
      <c r="G252" s="3" t="s">
        <v>165</v>
      </c>
    </row>
    <row r="253" spans="1:9" x14ac:dyDescent="0.35">
      <c r="B253" s="4" t="s">
        <v>13</v>
      </c>
      <c r="C253" s="4" t="s">
        <v>154</v>
      </c>
      <c r="D253" s="4">
        <v>5</v>
      </c>
      <c r="E253" s="4">
        <v>15</v>
      </c>
      <c r="H253" s="4">
        <f>E253</f>
        <v>15</v>
      </c>
      <c r="I253" s="4">
        <f>ROUND(E253+0.33*ABS(E253),0)</f>
        <v>20</v>
      </c>
    </row>
    <row r="254" spans="1:9" x14ac:dyDescent="0.35">
      <c r="B254" s="4" t="s">
        <v>16</v>
      </c>
      <c r="C254" s="4" t="s">
        <v>166</v>
      </c>
      <c r="D254" s="5" t="s">
        <v>94</v>
      </c>
      <c r="H254" s="5" t="str">
        <f>D254</f>
        <v>{"flag": true}</v>
      </c>
    </row>
    <row r="255" spans="1:9" x14ac:dyDescent="0.35">
      <c r="B255" s="4" t="s">
        <v>16</v>
      </c>
      <c r="C255" s="4" t="s">
        <v>167</v>
      </c>
      <c r="D255" s="5" t="s">
        <v>94</v>
      </c>
      <c r="H255" s="5" t="str">
        <f>D255</f>
        <v>{"flag": true}</v>
      </c>
    </row>
    <row r="256" spans="1:9" x14ac:dyDescent="0.35">
      <c r="B256" s="4" t="s">
        <v>16</v>
      </c>
      <c r="C256" s="4" t="s">
        <v>168</v>
      </c>
      <c r="D256" s="5" t="s">
        <v>94</v>
      </c>
      <c r="H256" s="5" t="str">
        <f>D256</f>
        <v>{"flag": true}</v>
      </c>
    </row>
    <row r="257" spans="1:9" x14ac:dyDescent="0.35">
      <c r="B257" s="4" t="s">
        <v>16</v>
      </c>
      <c r="C257" s="4" t="s">
        <v>169</v>
      </c>
      <c r="D257" s="5" t="s">
        <v>94</v>
      </c>
      <c r="H257" s="5" t="str">
        <f>D257</f>
        <v>{"flag": true}</v>
      </c>
    </row>
    <row r="259" spans="1:9" x14ac:dyDescent="0.35">
      <c r="A259" s="2" t="s">
        <v>170</v>
      </c>
      <c r="G259" s="3" t="s">
        <v>171</v>
      </c>
    </row>
    <row r="260" spans="1:9" x14ac:dyDescent="0.35">
      <c r="B260" s="4" t="s">
        <v>13</v>
      </c>
      <c r="C260" s="4" t="s">
        <v>154</v>
      </c>
      <c r="D260" s="4">
        <v>10</v>
      </c>
      <c r="E260" s="4">
        <v>10</v>
      </c>
      <c r="H260" s="4">
        <f>E260</f>
        <v>10</v>
      </c>
      <c r="I260" s="4">
        <f>ROUND(E260+0.33*ABS(E260),0)</f>
        <v>13</v>
      </c>
    </row>
    <row r="261" spans="1:9" x14ac:dyDescent="0.35">
      <c r="B261" s="4" t="s">
        <v>18</v>
      </c>
      <c r="C261" s="4" t="s">
        <v>172</v>
      </c>
      <c r="D261" s="5" t="s">
        <v>173</v>
      </c>
      <c r="H261" s="5" t="str">
        <f>D261</f>
        <v>{"abilityId": "Nova_Slow", "tileEntityGroupId": "the_vault:chest", "displayName": "Omega Chest", "chance": {"min": 0.05, "max": 0.2, "step": 0.05}, "level": {"min": 4, "max": 8, "step": 1}}</v>
      </c>
    </row>
    <row r="263" spans="1:9" x14ac:dyDescent="0.35">
      <c r="A263" s="2" t="s">
        <v>174</v>
      </c>
      <c r="G263" s="3" t="s">
        <v>175</v>
      </c>
    </row>
    <row r="264" spans="1:9" x14ac:dyDescent="0.35">
      <c r="B264" s="4" t="s">
        <v>11</v>
      </c>
      <c r="C264" s="4" t="s">
        <v>12</v>
      </c>
      <c r="D264" s="4">
        <v>23401</v>
      </c>
      <c r="E264" s="4">
        <v>30000</v>
      </c>
      <c r="H264" s="4">
        <f>E264</f>
        <v>30000</v>
      </c>
      <c r="I264" s="4">
        <f>ROUND(E264+0.33*ABS(E264),0)</f>
        <v>39900</v>
      </c>
    </row>
    <row r="265" spans="1:9" x14ac:dyDescent="0.35">
      <c r="B265" s="4" t="s">
        <v>13</v>
      </c>
      <c r="C265" s="4" t="s">
        <v>176</v>
      </c>
      <c r="D265" s="4">
        <v>20.100000000000001</v>
      </c>
      <c r="E265" s="4">
        <v>25</v>
      </c>
      <c r="H265" s="4">
        <f>E265</f>
        <v>25</v>
      </c>
      <c r="I265" s="4">
        <f>ROUND(E265+0.33*ABS(E265),2)</f>
        <v>33.25</v>
      </c>
    </row>
    <row r="266" spans="1:9" x14ac:dyDescent="0.35">
      <c r="B266" s="4" t="s">
        <v>13</v>
      </c>
      <c r="C266" s="4" t="s">
        <v>177</v>
      </c>
      <c r="D266" s="4">
        <v>0.21</v>
      </c>
      <c r="E266" s="4">
        <v>0.25</v>
      </c>
      <c r="H266" s="4">
        <f>E266</f>
        <v>0.25</v>
      </c>
      <c r="I266" s="4">
        <f>ROUND(E266+0.33*ABS(E266),2)</f>
        <v>0.33</v>
      </c>
    </row>
    <row r="267" spans="1:9" x14ac:dyDescent="0.35">
      <c r="B267" s="4" t="s">
        <v>16</v>
      </c>
      <c r="C267" s="4" t="s">
        <v>178</v>
      </c>
      <c r="D267" s="4">
        <v>0.21</v>
      </c>
      <c r="E267" s="4">
        <v>0.25</v>
      </c>
      <c r="H267" s="4">
        <f>E267</f>
        <v>0.25</v>
      </c>
      <c r="I267" s="4">
        <f>ROUND(E267+0.33*ABS(E267),2)</f>
        <v>0.33</v>
      </c>
    </row>
    <row r="268" spans="1:9" x14ac:dyDescent="0.35">
      <c r="B268" s="4" t="s">
        <v>18</v>
      </c>
      <c r="C268" s="4" t="s">
        <v>179</v>
      </c>
      <c r="D268" s="4">
        <v>0.2</v>
      </c>
      <c r="E268" s="4">
        <v>0.5</v>
      </c>
      <c r="H268" s="4">
        <f>E268</f>
        <v>0.5</v>
      </c>
      <c r="I268" s="4">
        <f>ROUND(E268+0.33*ABS(E268),2)</f>
        <v>0.67</v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Hayes</cp:lastModifiedBy>
  <dcterms:created xsi:type="dcterms:W3CDTF">2026-08-06T05:38:00Z</dcterms:created>
  <dcterms:modified xsi:type="dcterms:W3CDTF">2026-08-06T05:39:01Z</dcterms:modified>
</cp:coreProperties>
</file>