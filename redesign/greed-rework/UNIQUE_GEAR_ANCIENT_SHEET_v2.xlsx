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ver\wv_decompile\"/>
    </mc:Choice>
  </mc:AlternateContent>
  <xr:revisionPtr revIDLastSave="0" documentId="11_7FBC5A55907276AE692708F4445DCE3A77440CCE" xr6:coauthVersionLast="47" xr6:coauthVersionMax="47" xr10:uidLastSave="{00000000-0000-0000-0000-000000000000}"/>
  <bookViews>
    <workbookView xWindow="2420" yWindow="2230" windowWidth="19200" windowHeight="11170" xr2:uid="{00000000-000D-0000-FFFF-FFFF00000000}"/>
  </bookViews>
  <sheets>
    <sheet name="Uniq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0" i="1" l="1"/>
  <c r="I489" i="1"/>
  <c r="H489" i="1"/>
  <c r="I488" i="1"/>
  <c r="H488" i="1"/>
  <c r="I487" i="1"/>
  <c r="H487" i="1"/>
  <c r="I486" i="1"/>
  <c r="H486" i="1"/>
  <c r="H485" i="1"/>
  <c r="I484" i="1"/>
  <c r="H484" i="1"/>
  <c r="I483" i="1"/>
  <c r="H483" i="1"/>
  <c r="I480" i="1"/>
  <c r="H480" i="1"/>
  <c r="I479" i="1"/>
  <c r="H479" i="1"/>
  <c r="H478" i="1"/>
  <c r="I477" i="1"/>
  <c r="H477" i="1"/>
  <c r="I476" i="1"/>
  <c r="H476" i="1"/>
  <c r="H475" i="1"/>
  <c r="I474" i="1"/>
  <c r="H474" i="1"/>
  <c r="I473" i="1"/>
  <c r="H473" i="1"/>
  <c r="I470" i="1"/>
  <c r="H470" i="1"/>
  <c r="I469" i="1"/>
  <c r="H469" i="1"/>
  <c r="I468" i="1"/>
  <c r="H468" i="1"/>
  <c r="I467" i="1"/>
  <c r="H467" i="1"/>
  <c r="H466" i="1"/>
  <c r="I465" i="1"/>
  <c r="H465" i="1"/>
  <c r="I464" i="1"/>
  <c r="H464" i="1"/>
  <c r="I461" i="1"/>
  <c r="H461" i="1"/>
  <c r="I460" i="1"/>
  <c r="H460" i="1"/>
  <c r="I459" i="1"/>
  <c r="H459" i="1"/>
  <c r="H458" i="1"/>
  <c r="H457" i="1"/>
  <c r="H456" i="1"/>
  <c r="H455" i="1"/>
  <c r="I454" i="1"/>
  <c r="H454" i="1"/>
  <c r="I453" i="1"/>
  <c r="H453" i="1"/>
  <c r="I450" i="1"/>
  <c r="H450" i="1"/>
  <c r="I449" i="1"/>
  <c r="H449" i="1"/>
  <c r="I448" i="1"/>
  <c r="H448" i="1"/>
  <c r="I447" i="1"/>
  <c r="H447" i="1"/>
  <c r="I446" i="1"/>
  <c r="H446" i="1"/>
  <c r="H443" i="1"/>
  <c r="I442" i="1"/>
  <c r="H442" i="1"/>
  <c r="I439" i="1"/>
  <c r="H439" i="1"/>
  <c r="I438" i="1"/>
  <c r="H438" i="1"/>
  <c r="H435" i="1"/>
  <c r="I434" i="1"/>
  <c r="H434" i="1"/>
  <c r="H431" i="1"/>
  <c r="I430" i="1"/>
  <c r="H430" i="1"/>
  <c r="H427" i="1"/>
  <c r="H426" i="1"/>
  <c r="H425" i="1"/>
  <c r="H424" i="1"/>
  <c r="I423" i="1"/>
  <c r="H423" i="1"/>
  <c r="H420" i="1"/>
  <c r="I419" i="1"/>
  <c r="H419" i="1"/>
  <c r="H416" i="1"/>
  <c r="H415" i="1"/>
  <c r="H414" i="1"/>
  <c r="H413" i="1"/>
  <c r="H412" i="1"/>
  <c r="I411" i="1"/>
  <c r="H411" i="1"/>
  <c r="I408" i="1"/>
  <c r="H408" i="1"/>
  <c r="I407" i="1"/>
  <c r="H407" i="1"/>
  <c r="H406" i="1"/>
  <c r="I405" i="1"/>
  <c r="H405" i="1"/>
  <c r="H402" i="1"/>
  <c r="I401" i="1"/>
  <c r="H401" i="1"/>
  <c r="I400" i="1"/>
  <c r="H400" i="1"/>
  <c r="I399" i="1"/>
  <c r="H399" i="1"/>
  <c r="I396" i="1"/>
  <c r="H396" i="1"/>
  <c r="I395" i="1"/>
  <c r="H395" i="1"/>
  <c r="I394" i="1"/>
  <c r="H394" i="1"/>
  <c r="H393" i="1"/>
  <c r="H392" i="1"/>
  <c r="H391" i="1"/>
  <c r="I389" i="1"/>
  <c r="H389" i="1"/>
  <c r="I386" i="1"/>
  <c r="H386" i="1"/>
  <c r="I385" i="1"/>
  <c r="H385" i="1"/>
  <c r="I384" i="1"/>
  <c r="H384" i="1"/>
  <c r="H383" i="1"/>
  <c r="I382" i="1"/>
  <c r="H382" i="1"/>
  <c r="I381" i="1"/>
  <c r="H381" i="1"/>
  <c r="I380" i="1"/>
  <c r="H380" i="1"/>
  <c r="I377" i="1"/>
  <c r="H377" i="1"/>
  <c r="I376" i="1"/>
  <c r="H376" i="1"/>
  <c r="I375" i="1"/>
  <c r="H375" i="1"/>
  <c r="I374" i="1"/>
  <c r="H374" i="1"/>
  <c r="I371" i="1"/>
  <c r="H371" i="1"/>
  <c r="H370" i="1"/>
  <c r="H369" i="1"/>
  <c r="I368" i="1"/>
  <c r="H368" i="1"/>
  <c r="H365" i="1"/>
  <c r="I364" i="1"/>
  <c r="H364" i="1"/>
  <c r="H363" i="1"/>
  <c r="H362" i="1"/>
  <c r="H361" i="1"/>
  <c r="H360" i="1"/>
  <c r="H359" i="1"/>
  <c r="H358" i="1"/>
  <c r="I356" i="1"/>
  <c r="H356" i="1"/>
  <c r="I353" i="1"/>
  <c r="H353" i="1"/>
  <c r="I352" i="1"/>
  <c r="H352" i="1"/>
  <c r="I350" i="1"/>
  <c r="H350" i="1"/>
  <c r="I349" i="1"/>
  <c r="H349" i="1"/>
  <c r="I346" i="1"/>
  <c r="H346" i="1"/>
  <c r="I345" i="1"/>
  <c r="H345" i="1"/>
  <c r="H344" i="1"/>
  <c r="I343" i="1"/>
  <c r="H343" i="1"/>
  <c r="I342" i="1"/>
  <c r="H342" i="1"/>
  <c r="I339" i="1"/>
  <c r="H339" i="1"/>
  <c r="I338" i="1"/>
  <c r="H338" i="1"/>
  <c r="I337" i="1"/>
  <c r="H337" i="1"/>
  <c r="H336" i="1"/>
  <c r="I335" i="1"/>
  <c r="H335" i="1"/>
  <c r="H332" i="1"/>
  <c r="I331" i="1"/>
  <c r="H331" i="1"/>
  <c r="I330" i="1"/>
  <c r="H330" i="1"/>
  <c r="I329" i="1"/>
  <c r="H329" i="1"/>
  <c r="I328" i="1"/>
  <c r="H328" i="1"/>
  <c r="I325" i="1"/>
  <c r="H325" i="1"/>
  <c r="I323" i="1"/>
  <c r="H323" i="1"/>
  <c r="I322" i="1"/>
  <c r="H322" i="1"/>
  <c r="I319" i="1"/>
  <c r="H319" i="1"/>
  <c r="I318" i="1"/>
  <c r="H318" i="1"/>
  <c r="I317" i="1"/>
  <c r="H317" i="1"/>
  <c r="I316" i="1"/>
  <c r="H316" i="1"/>
  <c r="I313" i="1"/>
  <c r="H313" i="1"/>
  <c r="I312" i="1"/>
  <c r="H312" i="1"/>
  <c r="H311" i="1"/>
  <c r="I310" i="1"/>
  <c r="H310" i="1"/>
  <c r="I309" i="1"/>
  <c r="H309" i="1"/>
  <c r="I308" i="1"/>
  <c r="H308" i="1"/>
  <c r="I305" i="1"/>
  <c r="H305" i="1"/>
  <c r="H304" i="1"/>
  <c r="I303" i="1"/>
  <c r="H303" i="1"/>
  <c r="I300" i="1"/>
  <c r="H300" i="1"/>
  <c r="I299" i="1"/>
  <c r="H299" i="1"/>
  <c r="I298" i="1"/>
  <c r="H298" i="1"/>
  <c r="I297" i="1"/>
  <c r="H297" i="1"/>
  <c r="H294" i="1"/>
  <c r="H293" i="1"/>
  <c r="I292" i="1"/>
  <c r="H292" i="1"/>
  <c r="I290" i="1"/>
  <c r="H290" i="1"/>
  <c r="I289" i="1"/>
  <c r="H289" i="1"/>
  <c r="H286" i="1"/>
  <c r="I285" i="1"/>
  <c r="H285" i="1"/>
  <c r="I284" i="1"/>
  <c r="H284" i="1"/>
  <c r="I283" i="1"/>
  <c r="H283" i="1"/>
  <c r="H280" i="1"/>
  <c r="I279" i="1"/>
  <c r="H279" i="1"/>
  <c r="H278" i="1"/>
  <c r="I276" i="1"/>
  <c r="H276" i="1"/>
  <c r="I275" i="1"/>
  <c r="H275" i="1"/>
  <c r="I272" i="1"/>
  <c r="H272" i="1"/>
  <c r="H271" i="1"/>
  <c r="I270" i="1"/>
  <c r="H270" i="1"/>
  <c r="I269" i="1"/>
  <c r="H269" i="1"/>
  <c r="I268" i="1"/>
  <c r="H268" i="1"/>
  <c r="I267" i="1"/>
  <c r="H267" i="1"/>
  <c r="I264" i="1"/>
  <c r="H264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H254" i="1"/>
  <c r="H253" i="1"/>
  <c r="I252" i="1"/>
  <c r="H252" i="1"/>
  <c r="I251" i="1"/>
  <c r="H251" i="1"/>
  <c r="I250" i="1"/>
  <c r="H250" i="1"/>
  <c r="I249" i="1"/>
  <c r="H249" i="1"/>
  <c r="I248" i="1"/>
  <c r="H248" i="1"/>
  <c r="I246" i="1"/>
  <c r="H246" i="1"/>
  <c r="I243" i="1"/>
  <c r="H243" i="1"/>
  <c r="I242" i="1"/>
  <c r="H242" i="1"/>
  <c r="I241" i="1"/>
  <c r="H241" i="1"/>
  <c r="I240" i="1"/>
  <c r="H240" i="1"/>
  <c r="H237" i="1"/>
  <c r="H236" i="1"/>
  <c r="I235" i="1"/>
  <c r="H235" i="1"/>
  <c r="I234" i="1"/>
  <c r="H234" i="1"/>
  <c r="I233" i="1"/>
  <c r="H233" i="1"/>
  <c r="I230" i="1"/>
  <c r="H230" i="1"/>
  <c r="I229" i="1"/>
  <c r="H229" i="1"/>
  <c r="I228" i="1"/>
  <c r="H228" i="1"/>
  <c r="I227" i="1"/>
  <c r="H227" i="1"/>
  <c r="H226" i="1"/>
  <c r="I225" i="1"/>
  <c r="H225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2" i="1"/>
  <c r="H212" i="1"/>
  <c r="I211" i="1"/>
  <c r="H211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1" i="1"/>
  <c r="H201" i="1"/>
  <c r="I200" i="1"/>
  <c r="H200" i="1"/>
  <c r="I199" i="1"/>
  <c r="H199" i="1"/>
  <c r="H198" i="1"/>
  <c r="I197" i="1"/>
  <c r="H197" i="1"/>
  <c r="I196" i="1"/>
  <c r="H196" i="1"/>
  <c r="I193" i="1"/>
  <c r="H193" i="1"/>
  <c r="I192" i="1"/>
  <c r="H192" i="1"/>
  <c r="I191" i="1"/>
  <c r="H191" i="1"/>
  <c r="H190" i="1"/>
  <c r="I189" i="1"/>
  <c r="H189" i="1"/>
  <c r="I188" i="1"/>
  <c r="H188" i="1"/>
  <c r="I185" i="1"/>
  <c r="H185" i="1"/>
  <c r="I184" i="1"/>
  <c r="H184" i="1"/>
  <c r="I183" i="1"/>
  <c r="H183" i="1"/>
  <c r="I182" i="1"/>
  <c r="H182" i="1"/>
  <c r="I181" i="1"/>
  <c r="H181" i="1"/>
  <c r="I178" i="1"/>
  <c r="H178" i="1"/>
  <c r="I177" i="1"/>
  <c r="H177" i="1"/>
  <c r="I176" i="1"/>
  <c r="H176" i="1"/>
  <c r="I175" i="1"/>
  <c r="H175" i="1"/>
  <c r="I174" i="1"/>
  <c r="H174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58" i="1"/>
  <c r="H158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H148" i="1"/>
  <c r="I147" i="1"/>
  <c r="H147" i="1"/>
  <c r="I146" i="1"/>
  <c r="H146" i="1"/>
  <c r="I145" i="1"/>
  <c r="H145" i="1"/>
  <c r="I144" i="1"/>
  <c r="H144" i="1"/>
  <c r="H143" i="1"/>
  <c r="I142" i="1"/>
  <c r="H142" i="1"/>
  <c r="I141" i="1"/>
  <c r="H141" i="1"/>
  <c r="I140" i="1"/>
  <c r="H140" i="1"/>
  <c r="H137" i="1"/>
  <c r="I136" i="1"/>
  <c r="H136" i="1"/>
  <c r="I135" i="1"/>
  <c r="H135" i="1"/>
  <c r="I134" i="1"/>
  <c r="H134" i="1"/>
  <c r="I133" i="1"/>
  <c r="H133" i="1"/>
  <c r="I132" i="1"/>
  <c r="H132" i="1"/>
  <c r="I129" i="1"/>
  <c r="H129" i="1"/>
  <c r="I128" i="1"/>
  <c r="H128" i="1"/>
  <c r="I127" i="1"/>
  <c r="H127" i="1"/>
  <c r="I126" i="1"/>
  <c r="H126" i="1"/>
  <c r="H123" i="1"/>
  <c r="I122" i="1"/>
  <c r="H122" i="1"/>
  <c r="I121" i="1"/>
  <c r="H121" i="1"/>
  <c r="I120" i="1"/>
  <c r="H120" i="1"/>
  <c r="I119" i="1"/>
  <c r="H119" i="1"/>
  <c r="I118" i="1"/>
  <c r="H118" i="1"/>
  <c r="H115" i="1"/>
  <c r="I113" i="1"/>
  <c r="H113" i="1"/>
  <c r="I112" i="1"/>
  <c r="H112" i="1"/>
  <c r="I111" i="1"/>
  <c r="H111" i="1"/>
  <c r="I110" i="1"/>
  <c r="H110" i="1"/>
  <c r="I109" i="1"/>
  <c r="H109" i="1"/>
  <c r="I106" i="1"/>
  <c r="H106" i="1"/>
  <c r="I105" i="1"/>
  <c r="H105" i="1"/>
  <c r="I104" i="1"/>
  <c r="H104" i="1"/>
  <c r="I103" i="1"/>
  <c r="H103" i="1"/>
  <c r="I102" i="1"/>
  <c r="H102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0" i="1"/>
  <c r="H90" i="1"/>
  <c r="I89" i="1"/>
  <c r="H89" i="1"/>
  <c r="I88" i="1"/>
  <c r="H88" i="1"/>
  <c r="I87" i="1"/>
  <c r="H87" i="1"/>
  <c r="I86" i="1"/>
  <c r="H86" i="1"/>
  <c r="I85" i="1"/>
  <c r="H85" i="1"/>
  <c r="I82" i="1"/>
  <c r="H82" i="1"/>
  <c r="I81" i="1"/>
  <c r="H81" i="1"/>
  <c r="I80" i="1"/>
  <c r="H80" i="1"/>
  <c r="I79" i="1"/>
  <c r="H79" i="1"/>
  <c r="I78" i="1"/>
  <c r="H78" i="1"/>
  <c r="I77" i="1"/>
  <c r="H77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5" i="1"/>
  <c r="H65" i="1"/>
  <c r="I64" i="1"/>
  <c r="H64" i="1"/>
  <c r="H63" i="1"/>
  <c r="I62" i="1"/>
  <c r="H62" i="1"/>
  <c r="I61" i="1"/>
  <c r="H61" i="1"/>
  <c r="I60" i="1"/>
  <c r="H60" i="1"/>
  <c r="I59" i="1"/>
  <c r="H59" i="1"/>
  <c r="I56" i="1"/>
  <c r="H56" i="1"/>
  <c r="I55" i="1"/>
  <c r="H55" i="1"/>
  <c r="H54" i="1"/>
  <c r="I53" i="1"/>
  <c r="H53" i="1"/>
  <c r="I52" i="1"/>
  <c r="H52" i="1"/>
  <c r="I51" i="1"/>
  <c r="H51" i="1"/>
  <c r="I50" i="1"/>
  <c r="H50" i="1"/>
  <c r="I47" i="1"/>
  <c r="H47" i="1"/>
  <c r="I46" i="1"/>
  <c r="H46" i="1"/>
  <c r="I45" i="1"/>
  <c r="H45" i="1"/>
  <c r="H44" i="1"/>
  <c r="I43" i="1"/>
  <c r="H43" i="1"/>
  <c r="I42" i="1"/>
  <c r="H42" i="1"/>
  <c r="I41" i="1"/>
  <c r="H41" i="1"/>
  <c r="I40" i="1"/>
  <c r="H40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0" i="1"/>
  <c r="H10" i="1"/>
  <c r="I9" i="1"/>
  <c r="H9" i="1"/>
  <c r="I8" i="1"/>
  <c r="H8" i="1"/>
  <c r="I7" i="1"/>
  <c r="H7" i="1"/>
  <c r="I6" i="1"/>
  <c r="H6" i="1"/>
  <c r="I5" i="1"/>
  <c r="H5" i="1"/>
</calcChain>
</file>

<file path=xl/sharedStrings.xml><?xml version="1.0" encoding="utf-8"?>
<sst xmlns="http://schemas.openxmlformats.org/spreadsheetml/2006/main" count="935" uniqueCount="293">
  <si>
    <t>Unique</t>
  </si>
  <si>
    <t>Slot</t>
  </si>
  <si>
    <t>Modifier (attribute)</t>
  </si>
  <si>
    <t>Base Min</t>
  </si>
  <si>
    <t>Base Max</t>
  </si>
  <si>
    <t>Ancient Variant</t>
  </si>
  <si>
    <t>Ancient Min</t>
  </si>
  <si>
    <t>Ancient Max</t>
  </si>
  <si>
    <t>All 62 runtime uniques (pack config + woldsvaults 0.33.2 jar overlay; jar wins id collisions, e.g. Chainlash/Baguette). Base Min/Max = top natural roll bracket at item level 100 (merged unique tier config). Ancient Min = Base Max (formula); Ancient Max = Base Max + 33% of its magnitude (formula; negatives move toward 0). Edit Base Min/Max or overwrite Ancient Min/Max freely - formulas recalc from Base Max. Yellow cells = review by hand (non-numeric value, or modifier that never rolls). Source: Wolds-Vaults config + jar, compiled 2026-08-06.</t>
  </si>
  <si>
    <t>Crystal Double Blade (sword)</t>
  </si>
  <si>
    <t>Ancient Crystal Double Blade</t>
  </si>
  <si>
    <t>BASE_ATTRIBUTE</t>
  </si>
  <si>
    <t>durability</t>
  </si>
  <si>
    <t>IMPLICIT</t>
  </si>
  <si>
    <t>attack_damage</t>
  </si>
  <si>
    <t>attack_speed</t>
  </si>
  <si>
    <t>PREFIX</t>
  </si>
  <si>
    <t>ability_power</t>
  </si>
  <si>
    <t>SUFFIX</t>
  </si>
  <si>
    <t>attack_range</t>
  </si>
  <si>
    <t>attack_speed_percent</t>
  </si>
  <si>
    <t>Honey Stick (sword)</t>
  </si>
  <si>
    <t>Ancient Honey Stick</t>
  </si>
  <si>
    <t>sweeping_hit_damage</t>
  </si>
  <si>
    <t>shocking_hit_chance</t>
  </si>
  <si>
    <t>on_hit_stun</t>
  </si>
  <si>
    <t>Inflated Justice (sword)</t>
  </si>
  <si>
    <t>Ancient Inflated Justice</t>
  </si>
  <si>
    <t>damage_baby</t>
  </si>
  <si>
    <t>on_hit_aoe</t>
  </si>
  <si>
    <t>Iskallibur (sword)</t>
  </si>
  <si>
    <t>Ancient Iskallibur</t>
  </si>
  <si>
    <t>relentless_strike</t>
  </si>
  <si>
    <t>Lava Chicken Sword (sword) [addon]</t>
  </si>
  <si>
    <t>Ancient Lava Chicken Sword</t>
  </si>
  <si>
    <t>burning_hit_chance</t>
  </si>
  <si>
    <t>dripping_lava</t>
  </si>
  <si>
    <t>{"flag": true}</t>
  </si>
  <si>
    <t>lucky_hit_chance</t>
  </si>
  <si>
    <t>Everfrost (sword) [addon]</t>
  </si>
  <si>
    <t>Ancient Everfrost</t>
  </si>
  <si>
    <t>added_ability_level</t>
  </si>
  <si>
    <t>{"abilityKey": "Ice_Bolt_Blast", "levelChange": 3}</t>
  </si>
  <si>
    <t>area_of_effect</t>
  </si>
  <si>
    <t>ability_special_modification</t>
  </si>
  <si>
    <t>Everflame (sword) [addon]</t>
  </si>
  <si>
    <t>Ancient Everflame</t>
  </si>
  <si>
    <t>{"abilityKey": "Fireball_Base", "levelChange": 3}</t>
  </si>
  <si>
    <t>Hexblade (sword) [addon]</t>
  </si>
  <si>
    <t>Ancient Hexblade</t>
  </si>
  <si>
    <t>hexing_chance</t>
  </si>
  <si>
    <t>ability_power_percent</t>
  </si>
  <si>
    <t>Mineral Greatsword (sword) [addon]</t>
  </si>
  <si>
    <t>Ancient Mineral Greatsword</t>
  </si>
  <si>
    <t>Grass Sword (sword) [addon]</t>
  </si>
  <si>
    <t>Ancient Grass Sword</t>
  </si>
  <si>
    <t>thorns_damage_flat</t>
  </si>
  <si>
    <t>healing_effectiveness</t>
  </si>
  <si>
    <t>thorns_scaling_damage</t>
  </si>
  <si>
    <t>Aurora Scissors (sword) [addon]</t>
  </si>
  <si>
    <t>Ancient Aurora Scissors</t>
  </si>
  <si>
    <t>soul_chance</t>
  </si>
  <si>
    <t>ap_scaling_damage</t>
  </si>
  <si>
    <t>Young Kitsune Blade (sword) [addon]</t>
  </si>
  <si>
    <t>Ancient Young Kitsune Blade</t>
  </si>
  <si>
    <t>execution_damage</t>
  </si>
  <si>
    <t>Butcher's Axe (axe)</t>
  </si>
  <si>
    <t>Ancient Butcher's Axe</t>
  </si>
  <si>
    <t>double_hit_chance</t>
  </si>
  <si>
    <t>unique_rampage_level</t>
  </si>
  <si>
    <t>never rolls (identifier missing from merged unique tier config)</t>
  </si>
  <si>
    <t>on_kill_heal</t>
  </si>
  <si>
    <t>{"chance": {"min": 0.05, "max": 0.2, "step": 0.01}, "amount": {"min": 2.0, "max": 2.0, "step": 0.0}}</t>
  </si>
  <si>
    <t>Starforge (axe)</t>
  </si>
  <si>
    <t>Ancient Starforge</t>
  </si>
  <si>
    <t>arcane_nova_on_hit</t>
  </si>
  <si>
    <t>{"hitsRequired": {"min": 6, "max": 10, "step": 1}, "radius": {"min": 3.0, "max": 6.0, "step": 1}, "percentAbilityPower": {"min": 0.5, "max": 2.0, "step": 0.05}}</t>
  </si>
  <si>
    <t>Leviathan (axe) [addon]</t>
  </si>
  <si>
    <t>Ancient Leviathan</t>
  </si>
  <si>
    <t>reaving_damage</t>
  </si>
  <si>
    <t>Zombie Horse Axe (axe) [addon]</t>
  </si>
  <si>
    <t>Ancient Zombie Horse Axe</t>
  </si>
  <si>
    <t>movement_speed</t>
  </si>
  <si>
    <t>effect_cloud</t>
  </si>
  <si>
    <t>{"tooltipDisplayName": "Poison VII", "potion": "minecraft:empty", "additionalEffects": [{"effect": "minecraft:poison", "duration": 100, "amplifier": 16, "showParticles": true, "showIcon": true}], "duration": 300, "radius": 6.0, "color": 4236591, "affectsOwner": false, "triggerChance": 0.15}</t>
  </si>
  <si>
    <t>Zeus's Fury (trident) [addon]</t>
  </si>
  <si>
    <t>Ancient Zeus's Fury</t>
  </si>
  <si>
    <t>trident_loyalty</t>
  </si>
  <si>
    <t>trident_channeling</t>
  </si>
  <si>
    <t>trident_channeling_chance</t>
  </si>
  <si>
    <t>second_judgement</t>
  </si>
  <si>
    <t>trident_wind_up_percent</t>
  </si>
  <si>
    <t>{"tooltipDisplayName": "Slowness I", "potion": "minecraft:empty", "additionalEffects": [{"effect": "minecraft:slowness", "duration": 140, "amplifier": 0}], "duration": 120, "radius": 4.0, "color": 5926017, "affectsOwner": false, "triggerChance": 0.05}</t>
  </si>
  <si>
    <t>Fork of the Glutton (trident) [addon]</t>
  </si>
  <si>
    <t>Ancient Fork of the Glutton</t>
  </si>
  <si>
    <t>hit_hearts</t>
  </si>
  <si>
    <t>damage_tank</t>
  </si>
  <si>
    <t>soul_chance_percentile</t>
  </si>
  <si>
    <t>{"tooltipDisplayName": "Healing I", "potion": "minecraft:empty", "additionalEffects": [{"effect": "minecraft:instant_health", "duration": 20, "amplifier": 0}], "duration": 80, "radius": 4.0, "color": 16262179, "affectsOwner": true, "triggerChance": 0.05}</t>
  </si>
  <si>
    <t>Tri-Rang (rang) [addon]</t>
  </si>
  <si>
    <t>Ancient Tri-Rang</t>
  </si>
  <si>
    <t>range</t>
  </si>
  <si>
    <t>velocity</t>
  </si>
  <si>
    <t>on_hit_chain</t>
  </si>
  <si>
    <t>piercing</t>
  </si>
  <si>
    <t>returning_damage</t>
  </si>
  <si>
    <t>Bamboo Fightstick (battlestaff) [addon]</t>
  </si>
  <si>
    <t>Ancient Bamboo Fightstick</t>
  </si>
  <si>
    <t>Jester Hat (helmet)</t>
  </si>
  <si>
    <t>Ancient Jester Hat</t>
  </si>
  <si>
    <t>armor</t>
  </si>
  <si>
    <t>item_rarity</t>
  </si>
  <si>
    <t>jester_lucky_hit_chance_percentile</t>
  </si>
  <si>
    <t>Stormcrown (helmet)</t>
  </si>
  <si>
    <t>Ancient Stormcrown</t>
  </si>
  <si>
    <t>{"abilityKey": "Storm_Arrow_Base", "levelChange": 2}</t>
  </si>
  <si>
    <t>ability_area_of_effect_percent</t>
  </si>
  <si>
    <t>ability_cooldown_percent</t>
  </si>
  <si>
    <t>mana_regen</t>
  </si>
  <si>
    <t>Helm of the Warbound (helmet)</t>
  </si>
  <si>
    <t>Ancient Helm of the Warbound</t>
  </si>
  <si>
    <t>{"abilityKey": "Javelin_Scatter", "levelChange": 3}</t>
  </si>
  <si>
    <t>damage_increase</t>
  </si>
  <si>
    <t>cooldown_reduction</t>
  </si>
  <si>
    <t>Ann-Mari (chestplate)</t>
  </si>
  <si>
    <t>Ancient Ann-Mari</t>
  </si>
  <si>
    <t>critical_hit_mitigation</t>
  </si>
  <si>
    <t>health</t>
  </si>
  <si>
    <t>{"abilityKey": "Heal_Group", "levelChange": 2}</t>
  </si>
  <si>
    <t>phoenix</t>
  </si>
  <si>
    <t>The Castle (chestplate)</t>
  </si>
  <si>
    <t>Ancient The Castle</t>
  </si>
  <si>
    <t>resistance</t>
  </si>
  <si>
    <t>knockback_resistance</t>
  </si>
  <si>
    <t>castle_bastion</t>
  </si>
  <si>
    <t>Crystal Plate (chestplate)</t>
  </si>
  <si>
    <t>Ancient Crystal Plate</t>
  </si>
  <si>
    <t>{"levelChange": 2, "abilityKey": "all_abilities"}</t>
  </si>
  <si>
    <t>Frozen Throne (chestplate)</t>
  </si>
  <si>
    <t>Ancient Frozen Throne</t>
  </si>
  <si>
    <t>{"abilityKey": "Nova_Slow", "levelChange": 2}</t>
  </si>
  <si>
    <t>ability_on_damage</t>
  </si>
  <si>
    <t>{"abilityId": "Nova_Slow", "chance": {"min": 0.05, "max": 0.2, "step": 0.01}, "level": {"min": 2, "max": 7, "step": 1}}</t>
  </si>
  <si>
    <t>The Sweetheart (chestplate)</t>
  </si>
  <si>
    <t>Ancient The Sweetheart</t>
  </si>
  <si>
    <t>Vitalis Plate (chestplate)</t>
  </si>
  <si>
    <t>Ancient Vitalis Plate</t>
  </si>
  <si>
    <t>base_block_chance</t>
  </si>
  <si>
    <t>{"abilityKey": "Heal_Base", "levelChange": 2}</t>
  </si>
  <si>
    <t>block_heal</t>
  </si>
  <si>
    <t>{"chance": {"min": 0.2, "max": 0.5, "step": 0.05}, "amount": {"min": 2.0, "max": 2.0, "step": 0.0}}</t>
  </si>
  <si>
    <t>Crashguards (leggings)</t>
  </si>
  <si>
    <t>Ancient Crashguards</t>
  </si>
  <si>
    <t>mana_additive</t>
  </si>
  <si>
    <t>kinetic_immunity</t>
  </si>
  <si>
    <t>Swarmwalkers (leggings)</t>
  </si>
  <si>
    <t>Ancient Swarmwalkers</t>
  </si>
  <si>
    <t>effect_list_avoidance</t>
  </si>
  <si>
    <t>{"effectKeys": ["minecraft:poison", "minecraft:wither", "minecraft:levitation", "minecraft:slowness", "minecraft:blindness", "minecraft:hunger", "the_vault:bleed"], "name": "the_vault.gear_attribute.effect_avoidance.avoidance.bad_effects", "minChance": 0.71, "maxChance": 1.0, "step": 0.01}</t>
  </si>
  <si>
    <t>Frostguards (boots)</t>
  </si>
  <si>
    <t>Ancient Frostguards</t>
  </si>
  <si>
    <t>base_movement</t>
  </si>
  <si>
    <t>{"abilityKey": "Stonefall_Cold", "levelChange": 1}</t>
  </si>
  <si>
    <t>effect_trail</t>
  </si>
  <si>
    <t>{"effectId": "the_vault:chilled", "durationTicks": {"min": 60, "max": 160, "step": 20}}</t>
  </si>
  <si>
    <t>Pacifist Sandals (boots)</t>
  </si>
  <si>
    <t>Ancient Pacifist Sandals</t>
  </si>
  <si>
    <t>{"abilityKey": "Empower_Slowness_Aura", "levelChange": 1}</t>
  </si>
  <si>
    <t>Plague Steppers (boots) [addon]</t>
  </si>
  <si>
    <t>Ancient Plague Steppers</t>
  </si>
  <si>
    <t>{"abilityKey": "Nova_Dot", "levelChange": 4}</t>
  </si>
  <si>
    <t>{"durationTicks": {"step": 20, "min": 240, "max": 300}, "effectId": "minecraft:poison"}</t>
  </si>
  <si>
    <t>Gladiator's Buckler (shield)</t>
  </si>
  <si>
    <t>Ancient Gladiator's Buckler</t>
  </si>
  <si>
    <t>block</t>
  </si>
  <si>
    <t>third_attack</t>
  </si>
  <si>
    <t>Grim Shield (shield)</t>
  </si>
  <si>
    <t>Ancient Grim Shield</t>
  </si>
  <si>
    <t>{"abilityKey": "Taunt_Repel", "levelChange": 8}</t>
  </si>
  <si>
    <t>Rosethorn Ivy (shield)</t>
  </si>
  <si>
    <t>Ancient Rosethorn Ivy</t>
  </si>
  <si>
    <t>lucky_thorns</t>
  </si>
  <si>
    <t>Pestilence Wall (shield)</t>
  </si>
  <si>
    <t>Ancient Pestilence Wall</t>
  </si>
  <si>
    <t>Frostwarden (shield)</t>
  </si>
  <si>
    <t>Ancient Frostwarden</t>
  </si>
  <si>
    <t>unique_ice_bolt_level</t>
  </si>
  <si>
    <t>block_glacial_prison</t>
  </si>
  <si>
    <t>The Broodmother (shield)</t>
  </si>
  <si>
    <t>Ancient The Broodmother</t>
  </si>
  <si>
    <t>broodmother_web</t>
  </si>
  <si>
    <t>{"chance": {"min": 0.2, "max": 0.7, "step": 0.05}, "percentAttackDamage": {"min": 0.6, "max": 1.2, "step": 0.05}}</t>
  </si>
  <si>
    <t>Ender Rings (focus)</t>
  </si>
  <si>
    <t>Ancient Ender Rings</t>
  </si>
  <si>
    <t>{"abilityKey": "Dash_Warp", "levelChange": 1}</t>
  </si>
  <si>
    <t>warp_projectile_speed</t>
  </si>
  <si>
    <t>Frozen Orb (focus)</t>
  </si>
  <si>
    <t>Ancient Frozen Orb</t>
  </si>
  <si>
    <t>Echoflare (focus)</t>
  </si>
  <si>
    <t>Ancient Echoflare</t>
  </si>
  <si>
    <t>unique_dash_level</t>
  </si>
  <si>
    <t>ability_cooldown_skip</t>
  </si>
  <si>
    <t>Chroma Brew (focus) [addon]</t>
  </si>
  <si>
    <t>Ancient Chroma Brew</t>
  </si>
  <si>
    <t>mod_max_mana</t>
  </si>
  <si>
    <t>{"tooltipDisplayName": "Healing V", "potion": "minecraft:empty", "additionalEffects": [{"effect": "minecraft:instant_health", "duration": 20, "amplifier": 2}], "duration": 240, "radius": 4.0, "color": 16262179, "affectsOwner": true, "triggerChance": 0.05}</t>
  </si>
  <si>
    <t>{"tooltipDisplayName": "Wither V", "potion": "minecraft:empty", "additionalEffects": [{"effect": "minecraft:wither", "duration": 200, "amplifier": 4}], "duration": 300, "radius": 4.0, "color": 3484199, "affectsOwner": false, "triggerChance": 0.05}</t>
  </si>
  <si>
    <t>{"tooltipDisplayName": "Bleed V", "potion": "minecraft:empty", "additionalEffects": [{"effect": "the_vault:bleed", "duration": 200, "amplifier": 4}], "duration": 300, "radius": 4.0, "color": 16711680, "affectsOwner": false, "triggerChance": 0.05}</t>
  </si>
  <si>
    <t>{"tooltipDisplayName": "Poison V", "potion": "minecraft:empty", "additionalEffects": [{"effect": "minecraft:poison", "duration": 200, "amplifier": 4}], "duration": 300, "radius": 4.0, "color": 5149489, "affectsOwner": false, "triggerChance": 0.05}</t>
  </si>
  <si>
    <t>{"tooltipDisplayName": "Slowness V", "potion": "minecraft:empty", "additionalEffects": [{"effect": "minecraft:slowness", "duration": 200, "amplifier": 4}], "duration": 300, "radius": 4.0, "color": 5926017, "affectsOwner": false, "triggerChance": 0.05}</t>
  </si>
  <si>
    <t>{"tooltipDisplayName": "Weakness V", "potion": "minecraft:empty", "additionalEffects": [{"effect": "minecraft:weakness", "duration": 300, "amplifier": 0}], "duration": 300, "radius": 4.0, "color": 4738376, "affectsOwner": false, "triggerChance": 0.05}</t>
  </si>
  <si>
    <t>effect_cloud_chance_additive</t>
  </si>
  <si>
    <t>{"abilityKey": "Expunge_Base", "levelChange": 4}</t>
  </si>
  <si>
    <t>The Baguette (wand) [addon]</t>
  </si>
  <si>
    <t>Ancient The Baguette</t>
  </si>
  <si>
    <t>effect</t>
  </si>
  <si>
    <t>{"effectKey": "minecraft:saturation", "amplifier": 1}</t>
  </si>
  <si>
    <t>{"effectKey": "minecraft:regeneration", "amplifier": 1}</t>
  </si>
  <si>
    <t>Chainlash (wand) [addon]</t>
  </si>
  <si>
    <t>Ancient Chainlash</t>
  </si>
  <si>
    <t>chaining_damage</t>
  </si>
  <si>
    <t>Inferno's Reach (wand)</t>
  </si>
  <si>
    <t>Ancient Inferno's Reach</t>
  </si>
  <si>
    <t>{"abilityKey": "Fireball_Base", "levelChange": 2}</t>
  </si>
  <si>
    <t>Pocket Penguin (plushie) [addon]</t>
  </si>
  <si>
    <t>Ancient Pocket Penguin</t>
  </si>
  <si>
    <t>{"abilityKey": "Javelin_Base", "levelChange": 1}</t>
  </si>
  <si>
    <t>{"abilityKey": "Implode", "levelChange": 1}</t>
  </si>
  <si>
    <t>javelin_implode</t>
  </si>
  <si>
    <t>ability_mana_cost_percent</t>
  </si>
  <si>
    <t>The Wicked Witch (plushie) [addon]</t>
  </si>
  <si>
    <t>Ancient The Wicked Witch</t>
  </si>
  <si>
    <t>effect_duration</t>
  </si>
  <si>
    <t>{"effectKeys": ["minecraft:poison", "minecraft:wither", "minecraft:levitation", "minecraft:slowness", "minecraft:blindness", "minecraft:hunger", "the_vault:bleed", "the_vault:chilled", "the_vault:corruption"], "name": "the_vault.gear_attribute.effect_avoidance.avoidance.bad_effects", "minChance": 0.5, "maxChance": 1.0, "step": 0.05}</t>
  </si>
  <si>
    <t>Safer Spaces (plushie) [addon]</t>
  </si>
  <si>
    <t>Ancient Safer Spaces</t>
  </si>
  <si>
    <t>unique_effect</t>
  </si>
  <si>
    <t>{"effectKey": "woldsvaults:safer_space", "amplifier": 3}</t>
  </si>
  <si>
    <t>Kaleidoscope (jewel)</t>
  </si>
  <si>
    <t>Ancient Kaleidoscope</t>
  </si>
  <si>
    <t>jewel_size</t>
  </si>
  <si>
    <t>wooden_affinity</t>
  </si>
  <si>
    <t>coin_affinity</t>
  </si>
  <si>
    <t>gilded_affinity</t>
  </si>
  <si>
    <t>ornate_affinity</t>
  </si>
  <si>
    <t>living_affinity</t>
  </si>
  <si>
    <t>Manabloom (jewel)</t>
  </si>
  <si>
    <t>Ancient Manabloom</t>
  </si>
  <si>
    <t>mana_per_looted_tile</t>
  </si>
  <si>
    <t>{"tileEntityGroupId": "the_vault:chest", "displayName": "Chests", "manaGenerationChance": {"min": 0.2, "max": 0.6, "step": 0.01}, "manaGenerated": {"min": 1, "max": 3, "step": 1}}</t>
  </si>
  <si>
    <t>Pax (jewel)</t>
  </si>
  <si>
    <t>Ancient Pax</t>
  </si>
  <si>
    <t>picking</t>
  </si>
  <si>
    <t>axing</t>
  </si>
  <si>
    <t>shovelling</t>
  </si>
  <si>
    <t>reaping</t>
  </si>
  <si>
    <t>Frozen Heart (jewel)</t>
  </si>
  <si>
    <t>Ancient Frozen Heart</t>
  </si>
  <si>
    <t>ability_cast_on_loot</t>
  </si>
  <si>
    <t>{"abilityId": "Nova_Slow", "tileEntityGroupId": "the_vault:chest", "displayName": "Omega Chest", "chance": {"min": 0.05, "max": 0.2, "step": 0.05}, "level": {"min": 4, "max": 8, "step": 1}}</t>
  </si>
  <si>
    <t>Shatterering Jewel (jewel) [addon]</t>
  </si>
  <si>
    <t>Ancient Shatterering Jewel</t>
  </si>
  <si>
    <t>woldsvaults:breaching</t>
  </si>
  <si>
    <t>Eternal Stella (jewel) [addon]</t>
  </si>
  <si>
    <t>Ancient Eternal Stella</t>
  </si>
  <si>
    <t>immortality</t>
  </si>
  <si>
    <t>Treasured Jewel (jewel) [addon]</t>
  </si>
  <si>
    <t>Ancient Treasured Jewel</t>
  </si>
  <si>
    <t>treasure_affinity</t>
  </si>
  <si>
    <t>Quickstone (magnet)</t>
  </si>
  <si>
    <t>Ancient Quickstone</t>
  </si>
  <si>
    <t>copiously</t>
  </si>
  <si>
    <t>mining_speed_percent</t>
  </si>
  <si>
    <t>Aural Magnet (magnet) [addon]</t>
  </si>
  <si>
    <t>Ancient Aural Magnet</t>
  </si>
  <si>
    <t>endergized</t>
  </si>
  <si>
    <t>added_talent_level</t>
  </si>
  <si>
    <t>{"talentKey": "Prime_Amplification", "levelChange": 1}</t>
  </si>
  <si>
    <t>{"abilityKey": "Empower", "levelChange": 1}</t>
  </si>
  <si>
    <t>{"abilityKey": "Nova", "levelChange": 1}</t>
  </si>
  <si>
    <t>Chonknet (magnet) [addon]</t>
  </si>
  <si>
    <t>Ancient Chonknet</t>
  </si>
  <si>
    <t>health_percentile</t>
  </si>
  <si>
    <t>item_quantity</t>
  </si>
  <si>
    <t>Treasure Hunter's Magnet (magnet) [addon]</t>
  </si>
  <si>
    <t>Ancient Treasure Hunter's Magnet</t>
  </si>
  <si>
    <t>{"effectKey": "minecraft:luck", "amplifier": 1}</t>
  </si>
  <si>
    <t>mana_additive_percentile</t>
  </si>
  <si>
    <t>Bloodfetcher (magnet) [addon]</t>
  </si>
  <si>
    <t>Ancient Bloodfetcher</t>
  </si>
  <si>
    <t>leech</t>
  </si>
  <si>
    <t>trap_disarming</t>
  </si>
  <si>
    <t>{"effectKey": "minecraft:unluck", "amplifier":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</si>
</sst>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i/>
      <sz val="9"/>
      <color rgb="FF666666"/>
      <name val="Arial"/>
    </font>
    <font>
      <b/>
      <sz val="10"/>
      <color rgb="FF7D520E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3" borderId="0" xfId="0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0"/>
  <sheetViews>
    <sheetView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" customWidth="1"/>
    <col min="2" max="2" width="16" customWidth="1"/>
    <col min="3" max="3" width="38" customWidth="1"/>
    <col min="4" max="5" width="14" customWidth="1"/>
    <col min="6" max="6" width="3" customWidth="1"/>
    <col min="7" max="7" width="34" customWidth="1"/>
    <col min="8" max="9" width="1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6</v>
      </c>
      <c r="I1" s="1" t="s">
        <v>7</v>
      </c>
    </row>
    <row r="2" spans="1:9" x14ac:dyDescent="0.35">
      <c r="A2" s="7" t="s">
        <v>8</v>
      </c>
      <c r="B2" s="8"/>
      <c r="C2" s="8"/>
      <c r="D2" s="8"/>
      <c r="E2" s="8"/>
      <c r="F2" s="8"/>
      <c r="G2" s="8"/>
      <c r="H2" s="8"/>
      <c r="I2" s="8"/>
    </row>
    <row r="4" spans="1:9" x14ac:dyDescent="0.35">
      <c r="A4" s="2" t="s">
        <v>9</v>
      </c>
      <c r="G4" s="3" t="s">
        <v>10</v>
      </c>
    </row>
    <row r="5" spans="1:9" x14ac:dyDescent="0.35">
      <c r="B5" s="4" t="s">
        <v>11</v>
      </c>
      <c r="C5" s="4" t="s">
        <v>12</v>
      </c>
      <c r="D5" s="4">
        <v>12339</v>
      </c>
      <c r="E5" s="4">
        <v>14538</v>
      </c>
      <c r="H5" s="4">
        <f t="shared" ref="H5:H10" si="0">E5</f>
        <v>14538</v>
      </c>
      <c r="I5" s="4">
        <f>ROUND(E5+0.33*ABS(E5),0)</f>
        <v>19336</v>
      </c>
    </row>
    <row r="6" spans="1:9" x14ac:dyDescent="0.35">
      <c r="B6" s="4" t="s">
        <v>13</v>
      </c>
      <c r="C6" s="4" t="s">
        <v>14</v>
      </c>
      <c r="D6" s="4">
        <v>90</v>
      </c>
      <c r="E6" s="4">
        <v>100</v>
      </c>
      <c r="H6" s="4">
        <f t="shared" si="0"/>
        <v>100</v>
      </c>
      <c r="I6" s="4">
        <f>ROUND(E6+0.33*ABS(E6),2)</f>
        <v>133</v>
      </c>
    </row>
    <row r="7" spans="1:9" x14ac:dyDescent="0.35">
      <c r="B7" s="4" t="s">
        <v>13</v>
      </c>
      <c r="C7" s="4" t="s">
        <v>15</v>
      </c>
      <c r="D7" s="4">
        <v>-2.29</v>
      </c>
      <c r="E7" s="4">
        <v>-2.2000000000000002</v>
      </c>
      <c r="H7" s="4">
        <f t="shared" si="0"/>
        <v>-2.2000000000000002</v>
      </c>
      <c r="I7" s="4">
        <f>ROUND(E7+0.33*ABS(E7),2)</f>
        <v>-1.47</v>
      </c>
    </row>
    <row r="8" spans="1:9" x14ac:dyDescent="0.35">
      <c r="B8" s="4" t="s">
        <v>16</v>
      </c>
      <c r="C8" s="4" t="s">
        <v>17</v>
      </c>
      <c r="D8" s="4">
        <v>45</v>
      </c>
      <c r="E8" s="4">
        <v>50</v>
      </c>
      <c r="H8" s="4">
        <f t="shared" si="0"/>
        <v>50</v>
      </c>
      <c r="I8" s="4">
        <f>ROUND(E8+0.33*ABS(E8),2)</f>
        <v>66.5</v>
      </c>
    </row>
    <row r="9" spans="1:9" x14ac:dyDescent="0.35">
      <c r="B9" s="4" t="s">
        <v>18</v>
      </c>
      <c r="C9" s="4" t="s">
        <v>19</v>
      </c>
      <c r="D9" s="4">
        <v>0.41</v>
      </c>
      <c r="E9" s="4">
        <v>0.5</v>
      </c>
      <c r="H9" s="4">
        <f t="shared" si="0"/>
        <v>0.5</v>
      </c>
      <c r="I9" s="4">
        <f>ROUND(E9+0.33*ABS(E9),2)</f>
        <v>0.67</v>
      </c>
    </row>
    <row r="10" spans="1:9" x14ac:dyDescent="0.35">
      <c r="B10" s="4" t="s">
        <v>18</v>
      </c>
      <c r="C10" s="4" t="s">
        <v>20</v>
      </c>
      <c r="D10" s="4">
        <v>0.21</v>
      </c>
      <c r="E10" s="4">
        <v>0.25</v>
      </c>
      <c r="H10" s="4">
        <f t="shared" si="0"/>
        <v>0.25</v>
      </c>
      <c r="I10" s="4">
        <f>ROUND(E10+0.33*ABS(E10),2)</f>
        <v>0.33</v>
      </c>
    </row>
    <row r="12" spans="1:9" x14ac:dyDescent="0.35">
      <c r="A12" s="2" t="s">
        <v>21</v>
      </c>
      <c r="G12" s="3" t="s">
        <v>22</v>
      </c>
    </row>
    <row r="13" spans="1:9" x14ac:dyDescent="0.35">
      <c r="B13" s="4" t="s">
        <v>11</v>
      </c>
      <c r="C13" s="4" t="s">
        <v>12</v>
      </c>
      <c r="D13" s="4">
        <v>12339</v>
      </c>
      <c r="E13" s="4">
        <v>14538</v>
      </c>
      <c r="H13" s="4">
        <f t="shared" ref="H13:H19" si="1">E13</f>
        <v>14538</v>
      </c>
      <c r="I13" s="4">
        <f>ROUND(E13+0.33*ABS(E13),0)</f>
        <v>19336</v>
      </c>
    </row>
    <row r="14" spans="1:9" x14ac:dyDescent="0.35">
      <c r="B14" s="4" t="s">
        <v>13</v>
      </c>
      <c r="C14" s="4" t="s">
        <v>14</v>
      </c>
      <c r="D14" s="4">
        <v>90</v>
      </c>
      <c r="E14" s="4">
        <v>100</v>
      </c>
      <c r="H14" s="4">
        <f t="shared" si="1"/>
        <v>100</v>
      </c>
      <c r="I14" s="4">
        <f t="shared" ref="I14:I19" si="2">ROUND(E14+0.33*ABS(E14),2)</f>
        <v>133</v>
      </c>
    </row>
    <row r="15" spans="1:9" x14ac:dyDescent="0.35">
      <c r="B15" s="4" t="s">
        <v>13</v>
      </c>
      <c r="C15" s="4" t="s">
        <v>15</v>
      </c>
      <c r="D15" s="4">
        <v>-2.29</v>
      </c>
      <c r="E15" s="4">
        <v>-2.2000000000000002</v>
      </c>
      <c r="H15" s="4">
        <f t="shared" si="1"/>
        <v>-2.2000000000000002</v>
      </c>
      <c r="I15" s="4">
        <f t="shared" si="2"/>
        <v>-1.47</v>
      </c>
    </row>
    <row r="16" spans="1:9" x14ac:dyDescent="0.35">
      <c r="B16" s="4" t="s">
        <v>13</v>
      </c>
      <c r="C16" s="4" t="s">
        <v>23</v>
      </c>
      <c r="D16" s="4">
        <v>0.71</v>
      </c>
      <c r="E16" s="4">
        <v>0.8</v>
      </c>
      <c r="H16" s="4">
        <f t="shared" si="1"/>
        <v>0.8</v>
      </c>
      <c r="I16" s="4">
        <f t="shared" si="2"/>
        <v>1.06</v>
      </c>
    </row>
    <row r="17" spans="1:9" x14ac:dyDescent="0.35">
      <c r="B17" s="4" t="s">
        <v>16</v>
      </c>
      <c r="C17" s="4" t="s">
        <v>20</v>
      </c>
      <c r="D17" s="4">
        <v>0.21</v>
      </c>
      <c r="E17" s="4">
        <v>0.25</v>
      </c>
      <c r="H17" s="4">
        <f t="shared" si="1"/>
        <v>0.25</v>
      </c>
      <c r="I17" s="4">
        <f t="shared" si="2"/>
        <v>0.33</v>
      </c>
    </row>
    <row r="18" spans="1:9" x14ac:dyDescent="0.35">
      <c r="B18" s="4" t="s">
        <v>18</v>
      </c>
      <c r="C18" s="4" t="s">
        <v>24</v>
      </c>
      <c r="D18" s="4">
        <v>0.81</v>
      </c>
      <c r="E18" s="4">
        <v>1</v>
      </c>
      <c r="H18" s="4">
        <f t="shared" si="1"/>
        <v>1</v>
      </c>
      <c r="I18" s="4">
        <f t="shared" si="2"/>
        <v>1.33</v>
      </c>
    </row>
    <row r="19" spans="1:9" x14ac:dyDescent="0.35">
      <c r="B19" s="4" t="s">
        <v>18</v>
      </c>
      <c r="C19" s="4" t="s">
        <v>25</v>
      </c>
      <c r="D19" s="4">
        <v>0.21</v>
      </c>
      <c r="E19" s="4">
        <v>0.3</v>
      </c>
      <c r="H19" s="4">
        <f t="shared" si="1"/>
        <v>0.3</v>
      </c>
      <c r="I19" s="4">
        <f t="shared" si="2"/>
        <v>0.4</v>
      </c>
    </row>
    <row r="21" spans="1:9" x14ac:dyDescent="0.35">
      <c r="A21" s="2" t="s">
        <v>26</v>
      </c>
      <c r="G21" s="3" t="s">
        <v>27</v>
      </c>
    </row>
    <row r="22" spans="1:9" x14ac:dyDescent="0.35">
      <c r="B22" s="4" t="s">
        <v>11</v>
      </c>
      <c r="C22" s="4" t="s">
        <v>12</v>
      </c>
      <c r="D22" s="4">
        <v>12339</v>
      </c>
      <c r="E22" s="4">
        <v>14538</v>
      </c>
      <c r="H22" s="4">
        <f t="shared" ref="H22:H28" si="3">E22</f>
        <v>14538</v>
      </c>
      <c r="I22" s="4">
        <f>ROUND(E22+0.33*ABS(E22),0)</f>
        <v>19336</v>
      </c>
    </row>
    <row r="23" spans="1:9" x14ac:dyDescent="0.35">
      <c r="B23" s="4" t="s">
        <v>13</v>
      </c>
      <c r="C23" s="4" t="s">
        <v>14</v>
      </c>
      <c r="D23" s="4">
        <v>90</v>
      </c>
      <c r="E23" s="4">
        <v>100</v>
      </c>
      <c r="H23" s="4">
        <f t="shared" si="3"/>
        <v>100</v>
      </c>
      <c r="I23" s="4">
        <f>ROUND(E23+0.33*ABS(E23),2)</f>
        <v>133</v>
      </c>
    </row>
    <row r="24" spans="1:9" x14ac:dyDescent="0.35">
      <c r="B24" s="4" t="s">
        <v>13</v>
      </c>
      <c r="C24" s="4" t="s">
        <v>15</v>
      </c>
      <c r="D24" s="4">
        <v>-2.29</v>
      </c>
      <c r="E24" s="4">
        <v>-2.2000000000000002</v>
      </c>
      <c r="H24" s="4">
        <f t="shared" si="3"/>
        <v>-2.2000000000000002</v>
      </c>
      <c r="I24" s="4">
        <f>ROUND(E24+0.33*ABS(E24),2)</f>
        <v>-1.47</v>
      </c>
    </row>
    <row r="25" spans="1:9" x14ac:dyDescent="0.35">
      <c r="B25" s="4" t="s">
        <v>13</v>
      </c>
      <c r="C25" s="4" t="s">
        <v>23</v>
      </c>
      <c r="D25" s="4">
        <v>0.71</v>
      </c>
      <c r="E25" s="4">
        <v>0.8</v>
      </c>
      <c r="H25" s="4">
        <f t="shared" si="3"/>
        <v>0.8</v>
      </c>
      <c r="I25" s="4">
        <f>ROUND(E25+0.33*ABS(E25),2)</f>
        <v>1.06</v>
      </c>
    </row>
    <row r="26" spans="1:9" x14ac:dyDescent="0.35">
      <c r="B26" s="4" t="s">
        <v>16</v>
      </c>
      <c r="C26" s="4" t="s">
        <v>14</v>
      </c>
      <c r="D26" s="4">
        <v>49</v>
      </c>
      <c r="E26" s="4">
        <v>55</v>
      </c>
      <c r="H26" s="4">
        <f t="shared" si="3"/>
        <v>55</v>
      </c>
      <c r="I26" s="4">
        <f>ROUND(E26+0.33*ABS(E26),2)</f>
        <v>73.150000000000006</v>
      </c>
    </row>
    <row r="27" spans="1:9" x14ac:dyDescent="0.35">
      <c r="B27" s="4" t="s">
        <v>16</v>
      </c>
      <c r="C27" s="4" t="s">
        <v>28</v>
      </c>
      <c r="D27" s="4">
        <v>0.6</v>
      </c>
      <c r="E27" s="4">
        <v>1</v>
      </c>
      <c r="H27" s="4">
        <f t="shared" si="3"/>
        <v>1</v>
      </c>
      <c r="I27" s="4">
        <f>ROUND(E27+0.33*ABS(E27),2)</f>
        <v>1.33</v>
      </c>
    </row>
    <row r="28" spans="1:9" x14ac:dyDescent="0.35">
      <c r="B28" s="4" t="s">
        <v>18</v>
      </c>
      <c r="C28" s="4" t="s">
        <v>29</v>
      </c>
      <c r="D28" s="4">
        <v>5</v>
      </c>
      <c r="E28" s="4">
        <v>5</v>
      </c>
      <c r="H28" s="4">
        <f t="shared" si="3"/>
        <v>5</v>
      </c>
      <c r="I28" s="4">
        <f>ROUND(E28+0.33*ABS(E28),0)</f>
        <v>7</v>
      </c>
    </row>
    <row r="30" spans="1:9" x14ac:dyDescent="0.35">
      <c r="A30" s="2" t="s">
        <v>30</v>
      </c>
      <c r="G30" s="3" t="s">
        <v>31</v>
      </c>
    </row>
    <row r="31" spans="1:9" x14ac:dyDescent="0.35">
      <c r="B31" s="4" t="s">
        <v>11</v>
      </c>
      <c r="C31" s="4" t="s">
        <v>12</v>
      </c>
      <c r="D31" s="4">
        <v>12339</v>
      </c>
      <c r="E31" s="4">
        <v>14538</v>
      </c>
      <c r="H31" s="4">
        <f t="shared" ref="H31:H37" si="4">E31</f>
        <v>14538</v>
      </c>
      <c r="I31" s="4">
        <f>ROUND(E31+0.33*ABS(E31),0)</f>
        <v>19336</v>
      </c>
    </row>
    <row r="32" spans="1:9" x14ac:dyDescent="0.35">
      <c r="B32" s="4" t="s">
        <v>13</v>
      </c>
      <c r="C32" s="4" t="s">
        <v>14</v>
      </c>
      <c r="D32" s="4">
        <v>90</v>
      </c>
      <c r="E32" s="4">
        <v>100</v>
      </c>
      <c r="H32" s="4">
        <f t="shared" si="4"/>
        <v>100</v>
      </c>
      <c r="I32" s="4">
        <f t="shared" ref="I32:I37" si="5">ROUND(E32+0.33*ABS(E32),2)</f>
        <v>133</v>
      </c>
    </row>
    <row r="33" spans="1:9" x14ac:dyDescent="0.35">
      <c r="B33" s="4" t="s">
        <v>13</v>
      </c>
      <c r="C33" s="4" t="s">
        <v>15</v>
      </c>
      <c r="D33" s="4">
        <v>-2.29</v>
      </c>
      <c r="E33" s="4">
        <v>-2.2000000000000002</v>
      </c>
      <c r="H33" s="4">
        <f t="shared" si="4"/>
        <v>-2.2000000000000002</v>
      </c>
      <c r="I33" s="4">
        <f t="shared" si="5"/>
        <v>-1.47</v>
      </c>
    </row>
    <row r="34" spans="1:9" x14ac:dyDescent="0.35">
      <c r="B34" s="4" t="s">
        <v>13</v>
      </c>
      <c r="C34" s="4" t="s">
        <v>23</v>
      </c>
      <c r="D34" s="4">
        <v>0.71</v>
      </c>
      <c r="E34" s="4">
        <v>0.8</v>
      </c>
      <c r="H34" s="4">
        <f t="shared" si="4"/>
        <v>0.8</v>
      </c>
      <c r="I34" s="4">
        <f t="shared" si="5"/>
        <v>1.06</v>
      </c>
    </row>
    <row r="35" spans="1:9" x14ac:dyDescent="0.35">
      <c r="B35" s="4" t="s">
        <v>16</v>
      </c>
      <c r="C35" s="4" t="s">
        <v>14</v>
      </c>
      <c r="D35" s="4">
        <v>49</v>
      </c>
      <c r="E35" s="4">
        <v>55</v>
      </c>
      <c r="H35" s="4">
        <f t="shared" si="4"/>
        <v>55</v>
      </c>
      <c r="I35" s="4">
        <f t="shared" si="5"/>
        <v>73.150000000000006</v>
      </c>
    </row>
    <row r="36" spans="1:9" x14ac:dyDescent="0.35">
      <c r="B36" s="4" t="s">
        <v>18</v>
      </c>
      <c r="C36" s="4" t="s">
        <v>32</v>
      </c>
      <c r="D36" s="4">
        <v>0.13</v>
      </c>
      <c r="E36" s="4">
        <v>0.16</v>
      </c>
      <c r="H36" s="4">
        <f t="shared" si="4"/>
        <v>0.16</v>
      </c>
      <c r="I36" s="4">
        <f t="shared" si="5"/>
        <v>0.21</v>
      </c>
    </row>
    <row r="37" spans="1:9" x14ac:dyDescent="0.35">
      <c r="B37" s="4" t="s">
        <v>18</v>
      </c>
      <c r="C37" s="4" t="s">
        <v>20</v>
      </c>
      <c r="D37" s="4">
        <v>0.21</v>
      </c>
      <c r="E37" s="4">
        <v>0.25</v>
      </c>
      <c r="H37" s="4">
        <f t="shared" si="4"/>
        <v>0.25</v>
      </c>
      <c r="I37" s="4">
        <f t="shared" si="5"/>
        <v>0.33</v>
      </c>
    </row>
    <row r="39" spans="1:9" x14ac:dyDescent="0.35">
      <c r="A39" s="2" t="s">
        <v>33</v>
      </c>
      <c r="G39" s="3" t="s">
        <v>34</v>
      </c>
    </row>
    <row r="40" spans="1:9" x14ac:dyDescent="0.35">
      <c r="B40" s="4" t="s">
        <v>11</v>
      </c>
      <c r="C40" s="4" t="s">
        <v>12</v>
      </c>
      <c r="D40" s="4">
        <v>12339</v>
      </c>
      <c r="E40" s="4">
        <v>14538</v>
      </c>
      <c r="H40" s="4">
        <f>E40</f>
        <v>14538</v>
      </c>
      <c r="I40" s="4">
        <f>ROUND(E40+0.33*ABS(E40),0)</f>
        <v>19336</v>
      </c>
    </row>
    <row r="41" spans="1:9" x14ac:dyDescent="0.35">
      <c r="B41" s="4" t="s">
        <v>13</v>
      </c>
      <c r="C41" s="4" t="s">
        <v>14</v>
      </c>
      <c r="D41" s="4">
        <v>90</v>
      </c>
      <c r="E41" s="4">
        <v>100</v>
      </c>
      <c r="H41" s="4">
        <f>E41</f>
        <v>100</v>
      </c>
      <c r="I41" s="4">
        <f>ROUND(E41+0.33*ABS(E41),2)</f>
        <v>133</v>
      </c>
    </row>
    <row r="42" spans="1:9" x14ac:dyDescent="0.35">
      <c r="B42" s="4" t="s">
        <v>13</v>
      </c>
      <c r="C42" s="4" t="s">
        <v>15</v>
      </c>
      <c r="D42" s="4">
        <v>-2.29</v>
      </c>
      <c r="E42" s="4">
        <v>-2.2000000000000002</v>
      </c>
      <c r="H42" s="4">
        <f>E42</f>
        <v>-2.2000000000000002</v>
      </c>
      <c r="I42" s="4">
        <f>ROUND(E42+0.33*ABS(E42),2)</f>
        <v>-1.47</v>
      </c>
    </row>
    <row r="43" spans="1:9" x14ac:dyDescent="0.35">
      <c r="B43" s="4" t="s">
        <v>16</v>
      </c>
      <c r="C43" s="4" t="s">
        <v>35</v>
      </c>
      <c r="D43" s="4">
        <v>0.16</v>
      </c>
      <c r="E43" s="4">
        <v>0.2</v>
      </c>
      <c r="H43" s="4">
        <f>E43</f>
        <v>0.2</v>
      </c>
      <c r="I43" s="4">
        <f>ROUND(E43+0.33*ABS(E43),2)</f>
        <v>0.27</v>
      </c>
    </row>
    <row r="44" spans="1:9" x14ac:dyDescent="0.35">
      <c r="B44" s="4" t="s">
        <v>16</v>
      </c>
      <c r="C44" s="4" t="s">
        <v>36</v>
      </c>
      <c r="D44" s="5" t="s">
        <v>37</v>
      </c>
      <c r="H44" s="5" t="str">
        <f>D44</f>
        <v>{"flag": true}</v>
      </c>
    </row>
    <row r="45" spans="1:9" x14ac:dyDescent="0.35">
      <c r="B45" s="4" t="s">
        <v>16</v>
      </c>
      <c r="C45" s="4" t="s">
        <v>29</v>
      </c>
      <c r="D45" s="4">
        <v>5</v>
      </c>
      <c r="E45" s="4">
        <v>5</v>
      </c>
      <c r="H45" s="4">
        <f>E45</f>
        <v>5</v>
      </c>
      <c r="I45" s="4">
        <f>ROUND(E45+0.33*ABS(E45),0)</f>
        <v>7</v>
      </c>
    </row>
    <row r="46" spans="1:9" x14ac:dyDescent="0.35">
      <c r="B46" s="4" t="s">
        <v>18</v>
      </c>
      <c r="C46" s="4" t="s">
        <v>38</v>
      </c>
      <c r="D46" s="4">
        <v>0.06</v>
      </c>
      <c r="E46" s="4">
        <v>0.15</v>
      </c>
      <c r="H46" s="4">
        <f>E46</f>
        <v>0.15</v>
      </c>
      <c r="I46" s="4">
        <f>ROUND(E46+0.33*ABS(E46),2)</f>
        <v>0.2</v>
      </c>
    </row>
    <row r="47" spans="1:9" x14ac:dyDescent="0.35">
      <c r="B47" s="4" t="s">
        <v>18</v>
      </c>
      <c r="C47" s="4" t="s">
        <v>25</v>
      </c>
      <c r="D47" s="4">
        <v>0.21</v>
      </c>
      <c r="E47" s="4">
        <v>0.3</v>
      </c>
      <c r="H47" s="4">
        <f>E47</f>
        <v>0.3</v>
      </c>
      <c r="I47" s="4">
        <f>ROUND(E47+0.33*ABS(E47),2)</f>
        <v>0.4</v>
      </c>
    </row>
    <row r="49" spans="1:9" x14ac:dyDescent="0.35">
      <c r="A49" s="2" t="s">
        <v>39</v>
      </c>
      <c r="G49" s="3" t="s">
        <v>40</v>
      </c>
    </row>
    <row r="50" spans="1:9" x14ac:dyDescent="0.35">
      <c r="B50" s="4" t="s">
        <v>11</v>
      </c>
      <c r="C50" s="4" t="s">
        <v>12</v>
      </c>
      <c r="D50" s="4">
        <v>12339</v>
      </c>
      <c r="E50" s="4">
        <v>14538</v>
      </c>
      <c r="H50" s="4">
        <f>E50</f>
        <v>14538</v>
      </c>
      <c r="I50" s="4">
        <f>ROUND(E50+0.33*ABS(E50),0)</f>
        <v>19336</v>
      </c>
    </row>
    <row r="51" spans="1:9" x14ac:dyDescent="0.35">
      <c r="B51" s="4" t="s">
        <v>13</v>
      </c>
      <c r="C51" s="4" t="s">
        <v>14</v>
      </c>
      <c r="D51" s="4">
        <v>90</v>
      </c>
      <c r="E51" s="4">
        <v>100</v>
      </c>
      <c r="H51" s="4">
        <f>E51</f>
        <v>100</v>
      </c>
      <c r="I51" s="4">
        <f>ROUND(E51+0.33*ABS(E51),2)</f>
        <v>133</v>
      </c>
    </row>
    <row r="52" spans="1:9" x14ac:dyDescent="0.35">
      <c r="B52" s="4" t="s">
        <v>13</v>
      </c>
      <c r="C52" s="4" t="s">
        <v>15</v>
      </c>
      <c r="D52" s="4">
        <v>-2.29</v>
      </c>
      <c r="E52" s="4">
        <v>-2.2000000000000002</v>
      </c>
      <c r="H52" s="4">
        <f>E52</f>
        <v>-2.2000000000000002</v>
      </c>
      <c r="I52" s="4">
        <f>ROUND(E52+0.33*ABS(E52),2)</f>
        <v>-1.47</v>
      </c>
    </row>
    <row r="53" spans="1:9" x14ac:dyDescent="0.35">
      <c r="B53" s="4" t="s">
        <v>16</v>
      </c>
      <c r="C53" s="4" t="s">
        <v>14</v>
      </c>
      <c r="D53" s="4">
        <v>49</v>
      </c>
      <c r="E53" s="4">
        <v>55</v>
      </c>
      <c r="H53" s="4">
        <f>E53</f>
        <v>55</v>
      </c>
      <c r="I53" s="4">
        <f>ROUND(E53+0.33*ABS(E53),2)</f>
        <v>73.150000000000006</v>
      </c>
    </row>
    <row r="54" spans="1:9" x14ac:dyDescent="0.35">
      <c r="B54" s="4" t="s">
        <v>16</v>
      </c>
      <c r="C54" s="4" t="s">
        <v>41</v>
      </c>
      <c r="D54" s="5" t="s">
        <v>42</v>
      </c>
      <c r="H54" s="5" t="str">
        <f>D54</f>
        <v>{"abilityKey": "Ice_Bolt_Blast", "levelChange": 3}</v>
      </c>
    </row>
    <row r="55" spans="1:9" x14ac:dyDescent="0.35">
      <c r="B55" s="4" t="s">
        <v>18</v>
      </c>
      <c r="C55" s="4" t="s">
        <v>43</v>
      </c>
      <c r="D55" s="4">
        <v>0.17</v>
      </c>
      <c r="E55" s="4">
        <v>0.2</v>
      </c>
      <c r="H55" s="4">
        <f>E55</f>
        <v>0.2</v>
      </c>
      <c r="I55" s="4">
        <f>ROUND(E55+0.33*ABS(E55),2)</f>
        <v>0.27</v>
      </c>
    </row>
    <row r="56" spans="1:9" x14ac:dyDescent="0.35">
      <c r="B56" s="4" t="s">
        <v>18</v>
      </c>
      <c r="C56" s="4" t="s">
        <v>44</v>
      </c>
      <c r="D56" s="4">
        <v>6</v>
      </c>
      <c r="E56" s="4">
        <v>6</v>
      </c>
      <c r="H56" s="4">
        <f>E56</f>
        <v>6</v>
      </c>
      <c r="I56" s="4">
        <f>ROUND(E56+0.33*ABS(E56),0)</f>
        <v>8</v>
      </c>
    </row>
    <row r="58" spans="1:9" x14ac:dyDescent="0.35">
      <c r="A58" s="2" t="s">
        <v>45</v>
      </c>
      <c r="G58" s="3" t="s">
        <v>46</v>
      </c>
    </row>
    <row r="59" spans="1:9" x14ac:dyDescent="0.35">
      <c r="B59" s="4" t="s">
        <v>11</v>
      </c>
      <c r="C59" s="4" t="s">
        <v>12</v>
      </c>
      <c r="D59" s="4">
        <v>12339</v>
      </c>
      <c r="E59" s="4">
        <v>14538</v>
      </c>
      <c r="H59" s="4">
        <f>E59</f>
        <v>14538</v>
      </c>
      <c r="I59" s="4">
        <f>ROUND(E59+0.33*ABS(E59),0)</f>
        <v>19336</v>
      </c>
    </row>
    <row r="60" spans="1:9" x14ac:dyDescent="0.35">
      <c r="B60" s="4" t="s">
        <v>13</v>
      </c>
      <c r="C60" s="4" t="s">
        <v>14</v>
      </c>
      <c r="D60" s="4">
        <v>90</v>
      </c>
      <c r="E60" s="4">
        <v>100</v>
      </c>
      <c r="H60" s="4">
        <f>E60</f>
        <v>100</v>
      </c>
      <c r="I60" s="4">
        <f>ROUND(E60+0.33*ABS(E60),2)</f>
        <v>133</v>
      </c>
    </row>
    <row r="61" spans="1:9" x14ac:dyDescent="0.35">
      <c r="B61" s="4" t="s">
        <v>13</v>
      </c>
      <c r="C61" s="4" t="s">
        <v>15</v>
      </c>
      <c r="D61" s="4">
        <v>-2.29</v>
      </c>
      <c r="E61" s="4">
        <v>-2.2000000000000002</v>
      </c>
      <c r="H61" s="4">
        <f>E61</f>
        <v>-2.2000000000000002</v>
      </c>
      <c r="I61" s="4">
        <f>ROUND(E61+0.33*ABS(E61),2)</f>
        <v>-1.47</v>
      </c>
    </row>
    <row r="62" spans="1:9" x14ac:dyDescent="0.35">
      <c r="B62" s="4" t="s">
        <v>16</v>
      </c>
      <c r="C62" s="4" t="s">
        <v>14</v>
      </c>
      <c r="D62" s="4">
        <v>49</v>
      </c>
      <c r="E62" s="4">
        <v>55</v>
      </c>
      <c r="H62" s="4">
        <f>E62</f>
        <v>55</v>
      </c>
      <c r="I62" s="4">
        <f>ROUND(E62+0.33*ABS(E62),2)</f>
        <v>73.150000000000006</v>
      </c>
    </row>
    <row r="63" spans="1:9" x14ac:dyDescent="0.35">
      <c r="B63" s="4" t="s">
        <v>16</v>
      </c>
      <c r="C63" s="4" t="s">
        <v>41</v>
      </c>
      <c r="D63" s="5" t="s">
        <v>47</v>
      </c>
      <c r="H63" s="5" t="str">
        <f>D63</f>
        <v>{"abilityKey": "Fireball_Base", "levelChange": 3}</v>
      </c>
    </row>
    <row r="64" spans="1:9" x14ac:dyDescent="0.35">
      <c r="B64" s="4" t="s">
        <v>18</v>
      </c>
      <c r="C64" s="4" t="s">
        <v>43</v>
      </c>
      <c r="D64" s="4">
        <v>0.17</v>
      </c>
      <c r="E64" s="4">
        <v>0.2</v>
      </c>
      <c r="H64" s="4">
        <f>E64</f>
        <v>0.2</v>
      </c>
      <c r="I64" s="4">
        <f>ROUND(E64+0.33*ABS(E64),2)</f>
        <v>0.27</v>
      </c>
    </row>
    <row r="65" spans="1:9" x14ac:dyDescent="0.35">
      <c r="B65" s="4" t="s">
        <v>18</v>
      </c>
      <c r="C65" s="4" t="s">
        <v>44</v>
      </c>
      <c r="D65" s="4">
        <v>0.5</v>
      </c>
      <c r="E65" s="4">
        <v>0.65</v>
      </c>
      <c r="H65" s="4">
        <f>E65</f>
        <v>0.65</v>
      </c>
      <c r="I65" s="4">
        <f>ROUND(E65+0.33*ABS(E65),2)</f>
        <v>0.86</v>
      </c>
    </row>
    <row r="67" spans="1:9" x14ac:dyDescent="0.35">
      <c r="A67" s="2" t="s">
        <v>48</v>
      </c>
      <c r="G67" s="3" t="s">
        <v>49</v>
      </c>
    </row>
    <row r="68" spans="1:9" x14ac:dyDescent="0.35">
      <c r="B68" s="4" t="s">
        <v>11</v>
      </c>
      <c r="C68" s="4" t="s">
        <v>12</v>
      </c>
      <c r="D68" s="4">
        <v>12339</v>
      </c>
      <c r="E68" s="4">
        <v>14538</v>
      </c>
      <c r="H68" s="4">
        <f t="shared" ref="H68:H74" si="6">E68</f>
        <v>14538</v>
      </c>
      <c r="I68" s="4">
        <f>ROUND(E68+0.33*ABS(E68),0)</f>
        <v>19336</v>
      </c>
    </row>
    <row r="69" spans="1:9" x14ac:dyDescent="0.35">
      <c r="B69" s="4" t="s">
        <v>13</v>
      </c>
      <c r="C69" s="4" t="s">
        <v>14</v>
      </c>
      <c r="D69" s="4">
        <v>90</v>
      </c>
      <c r="E69" s="4">
        <v>100</v>
      </c>
      <c r="H69" s="4">
        <f t="shared" si="6"/>
        <v>100</v>
      </c>
      <c r="I69" s="4">
        <f t="shared" ref="I69:I74" si="7">ROUND(E69+0.33*ABS(E69),2)</f>
        <v>133</v>
      </c>
    </row>
    <row r="70" spans="1:9" x14ac:dyDescent="0.35">
      <c r="B70" s="4" t="s">
        <v>13</v>
      </c>
      <c r="C70" s="4" t="s">
        <v>15</v>
      </c>
      <c r="D70" s="4">
        <v>-2.29</v>
      </c>
      <c r="E70" s="4">
        <v>-2.2000000000000002</v>
      </c>
      <c r="H70" s="4">
        <f t="shared" si="6"/>
        <v>-2.2000000000000002</v>
      </c>
      <c r="I70" s="4">
        <f t="shared" si="7"/>
        <v>-1.47</v>
      </c>
    </row>
    <row r="71" spans="1:9" x14ac:dyDescent="0.35">
      <c r="B71" s="4" t="s">
        <v>16</v>
      </c>
      <c r="C71" s="4" t="s">
        <v>50</v>
      </c>
      <c r="D71" s="4">
        <v>0.31</v>
      </c>
      <c r="E71" s="4">
        <v>0.35</v>
      </c>
      <c r="H71" s="4">
        <f t="shared" si="6"/>
        <v>0.35</v>
      </c>
      <c r="I71" s="4">
        <f t="shared" si="7"/>
        <v>0.47</v>
      </c>
    </row>
    <row r="72" spans="1:9" x14ac:dyDescent="0.35">
      <c r="B72" s="4" t="s">
        <v>16</v>
      </c>
      <c r="C72" s="4" t="s">
        <v>51</v>
      </c>
      <c r="D72" s="4">
        <v>0.16</v>
      </c>
      <c r="E72" s="4">
        <v>0.2</v>
      </c>
      <c r="H72" s="4">
        <f t="shared" si="6"/>
        <v>0.2</v>
      </c>
      <c r="I72" s="4">
        <f t="shared" si="7"/>
        <v>0.27</v>
      </c>
    </row>
    <row r="73" spans="1:9" x14ac:dyDescent="0.35">
      <c r="B73" s="4" t="s">
        <v>18</v>
      </c>
      <c r="C73" s="4" t="s">
        <v>20</v>
      </c>
      <c r="D73" s="4">
        <v>0.21</v>
      </c>
      <c r="E73" s="4">
        <v>0.25</v>
      </c>
      <c r="H73" s="4">
        <f t="shared" si="6"/>
        <v>0.25</v>
      </c>
      <c r="I73" s="4">
        <f t="shared" si="7"/>
        <v>0.33</v>
      </c>
    </row>
    <row r="74" spans="1:9" x14ac:dyDescent="0.35">
      <c r="B74" s="4" t="s">
        <v>18</v>
      </c>
      <c r="C74" s="4" t="s">
        <v>19</v>
      </c>
      <c r="D74" s="4">
        <v>0.41</v>
      </c>
      <c r="E74" s="4">
        <v>0.5</v>
      </c>
      <c r="H74" s="4">
        <f t="shared" si="6"/>
        <v>0.5</v>
      </c>
      <c r="I74" s="4">
        <f t="shared" si="7"/>
        <v>0.67</v>
      </c>
    </row>
    <row r="76" spans="1:9" x14ac:dyDescent="0.35">
      <c r="A76" s="2" t="s">
        <v>52</v>
      </c>
      <c r="G76" s="3" t="s">
        <v>53</v>
      </c>
    </row>
    <row r="77" spans="1:9" x14ac:dyDescent="0.35">
      <c r="B77" s="4" t="s">
        <v>11</v>
      </c>
      <c r="C77" s="4" t="s">
        <v>12</v>
      </c>
      <c r="D77" s="4">
        <v>12339</v>
      </c>
      <c r="E77" s="4">
        <v>14538</v>
      </c>
      <c r="H77" s="4">
        <f t="shared" ref="H77:H82" si="8">E77</f>
        <v>14538</v>
      </c>
      <c r="I77" s="4">
        <f>ROUND(E77+0.33*ABS(E77),0)</f>
        <v>19336</v>
      </c>
    </row>
    <row r="78" spans="1:9" x14ac:dyDescent="0.35">
      <c r="B78" s="4" t="s">
        <v>13</v>
      </c>
      <c r="C78" s="4" t="s">
        <v>14</v>
      </c>
      <c r="D78" s="4">
        <v>90</v>
      </c>
      <c r="E78" s="4">
        <v>100</v>
      </c>
      <c r="H78" s="4">
        <f t="shared" si="8"/>
        <v>100</v>
      </c>
      <c r="I78" s="4">
        <f>ROUND(E78+0.33*ABS(E78),2)</f>
        <v>133</v>
      </c>
    </row>
    <row r="79" spans="1:9" x14ac:dyDescent="0.35">
      <c r="B79" s="4" t="s">
        <v>13</v>
      </c>
      <c r="C79" s="4" t="s">
        <v>15</v>
      </c>
      <c r="D79" s="4">
        <v>-2.7</v>
      </c>
      <c r="E79" s="4">
        <v>-2.65</v>
      </c>
      <c r="H79" s="4">
        <f t="shared" si="8"/>
        <v>-2.65</v>
      </c>
      <c r="I79" s="4">
        <f>ROUND(E79+0.33*ABS(E79),2)</f>
        <v>-1.78</v>
      </c>
    </row>
    <row r="80" spans="1:9" x14ac:dyDescent="0.35">
      <c r="B80" s="4" t="s">
        <v>16</v>
      </c>
      <c r="C80" s="4" t="s">
        <v>14</v>
      </c>
      <c r="D80" s="4">
        <v>66</v>
      </c>
      <c r="E80" s="4">
        <v>70</v>
      </c>
      <c r="H80" s="4">
        <f t="shared" si="8"/>
        <v>70</v>
      </c>
      <c r="I80" s="4">
        <f>ROUND(E80+0.33*ABS(E80),2)</f>
        <v>93.1</v>
      </c>
    </row>
    <row r="81" spans="1:9" x14ac:dyDescent="0.35">
      <c r="B81" s="4" t="s">
        <v>18</v>
      </c>
      <c r="C81" s="4" t="s">
        <v>25</v>
      </c>
      <c r="D81" s="4">
        <v>0.4</v>
      </c>
      <c r="E81" s="4">
        <v>0.5</v>
      </c>
      <c r="H81" s="4">
        <f t="shared" si="8"/>
        <v>0.5</v>
      </c>
      <c r="I81" s="4">
        <f>ROUND(E81+0.33*ABS(E81),2)</f>
        <v>0.67</v>
      </c>
    </row>
    <row r="82" spans="1:9" x14ac:dyDescent="0.35">
      <c r="B82" s="4" t="s">
        <v>18</v>
      </c>
      <c r="C82" s="4" t="s">
        <v>19</v>
      </c>
      <c r="D82" s="4">
        <v>0.41</v>
      </c>
      <c r="E82" s="4">
        <v>0.5</v>
      </c>
      <c r="H82" s="4">
        <f t="shared" si="8"/>
        <v>0.5</v>
      </c>
      <c r="I82" s="4">
        <f>ROUND(E82+0.33*ABS(E82),2)</f>
        <v>0.67</v>
      </c>
    </row>
    <row r="84" spans="1:9" x14ac:dyDescent="0.35">
      <c r="A84" s="2" t="s">
        <v>54</v>
      </c>
      <c r="G84" s="3" t="s">
        <v>55</v>
      </c>
    </row>
    <row r="85" spans="1:9" x14ac:dyDescent="0.35">
      <c r="B85" s="4" t="s">
        <v>11</v>
      </c>
      <c r="C85" s="4" t="s">
        <v>12</v>
      </c>
      <c r="D85" s="4">
        <v>12339</v>
      </c>
      <c r="E85" s="4">
        <v>14538</v>
      </c>
      <c r="H85" s="4">
        <f t="shared" ref="H85:H90" si="9">E85</f>
        <v>14538</v>
      </c>
      <c r="I85" s="4">
        <f>ROUND(E85+0.33*ABS(E85),0)</f>
        <v>19336</v>
      </c>
    </row>
    <row r="86" spans="1:9" x14ac:dyDescent="0.35">
      <c r="B86" s="4" t="s">
        <v>13</v>
      </c>
      <c r="C86" s="4" t="s">
        <v>14</v>
      </c>
      <c r="D86" s="4">
        <v>90</v>
      </c>
      <c r="E86" s="4">
        <v>100</v>
      </c>
      <c r="H86" s="4">
        <f t="shared" si="9"/>
        <v>100</v>
      </c>
      <c r="I86" s="4">
        <f>ROUND(E86+0.33*ABS(E86),2)</f>
        <v>133</v>
      </c>
    </row>
    <row r="87" spans="1:9" x14ac:dyDescent="0.35">
      <c r="B87" s="4" t="s">
        <v>13</v>
      </c>
      <c r="C87" s="4" t="s">
        <v>15</v>
      </c>
      <c r="D87" s="4">
        <v>-2.29</v>
      </c>
      <c r="E87" s="4">
        <v>-2.2000000000000002</v>
      </c>
      <c r="H87" s="4">
        <f t="shared" si="9"/>
        <v>-2.2000000000000002</v>
      </c>
      <c r="I87" s="4">
        <f>ROUND(E87+0.33*ABS(E87),2)</f>
        <v>-1.47</v>
      </c>
    </row>
    <row r="88" spans="1:9" x14ac:dyDescent="0.35">
      <c r="B88" s="4" t="s">
        <v>16</v>
      </c>
      <c r="C88" s="4" t="s">
        <v>56</v>
      </c>
      <c r="D88" s="4">
        <v>31</v>
      </c>
      <c r="E88" s="4">
        <v>45</v>
      </c>
      <c r="H88" s="4">
        <f t="shared" si="9"/>
        <v>45</v>
      </c>
      <c r="I88" s="4">
        <f>ROUND(E88+0.33*ABS(E88),2)</f>
        <v>59.85</v>
      </c>
    </row>
    <row r="89" spans="1:9" x14ac:dyDescent="0.35">
      <c r="B89" s="4" t="s">
        <v>16</v>
      </c>
      <c r="C89" s="4" t="s">
        <v>57</v>
      </c>
      <c r="D89" s="4">
        <v>0.16</v>
      </c>
      <c r="E89" s="4">
        <v>0.25</v>
      </c>
      <c r="H89" s="4">
        <f t="shared" si="9"/>
        <v>0.25</v>
      </c>
      <c r="I89" s="4">
        <f>ROUND(E89+0.33*ABS(E89),2)</f>
        <v>0.33</v>
      </c>
    </row>
    <row r="90" spans="1:9" x14ac:dyDescent="0.35">
      <c r="B90" s="4" t="s">
        <v>18</v>
      </c>
      <c r="C90" s="4" t="s">
        <v>58</v>
      </c>
      <c r="D90" s="4">
        <v>0.31</v>
      </c>
      <c r="E90" s="4">
        <v>0.5</v>
      </c>
      <c r="H90" s="4">
        <f t="shared" si="9"/>
        <v>0.5</v>
      </c>
      <c r="I90" s="4">
        <f>ROUND(E90+0.33*ABS(E90),2)</f>
        <v>0.67</v>
      </c>
    </row>
    <row r="92" spans="1:9" x14ac:dyDescent="0.35">
      <c r="A92" s="2" t="s">
        <v>59</v>
      </c>
      <c r="G92" s="3" t="s">
        <v>60</v>
      </c>
    </row>
    <row r="93" spans="1:9" x14ac:dyDescent="0.35">
      <c r="B93" s="4" t="s">
        <v>11</v>
      </c>
      <c r="C93" s="4" t="s">
        <v>12</v>
      </c>
      <c r="D93" s="4">
        <v>12339</v>
      </c>
      <c r="E93" s="4">
        <v>14538</v>
      </c>
      <c r="H93" s="4">
        <f t="shared" ref="H93:H99" si="10">E93</f>
        <v>14538</v>
      </c>
      <c r="I93" s="4">
        <f>ROUND(E93+0.33*ABS(E93),0)</f>
        <v>19336</v>
      </c>
    </row>
    <row r="94" spans="1:9" x14ac:dyDescent="0.35">
      <c r="B94" s="4" t="s">
        <v>13</v>
      </c>
      <c r="C94" s="4" t="s">
        <v>14</v>
      </c>
      <c r="D94" s="4">
        <v>90</v>
      </c>
      <c r="E94" s="4">
        <v>100</v>
      </c>
      <c r="H94" s="4">
        <f t="shared" si="10"/>
        <v>100</v>
      </c>
      <c r="I94" s="4">
        <f t="shared" ref="I94:I99" si="11">ROUND(E94+0.33*ABS(E94),2)</f>
        <v>133</v>
      </c>
    </row>
    <row r="95" spans="1:9" x14ac:dyDescent="0.35">
      <c r="B95" s="4" t="s">
        <v>13</v>
      </c>
      <c r="C95" s="4" t="s">
        <v>15</v>
      </c>
      <c r="D95" s="4">
        <v>-2.29</v>
      </c>
      <c r="E95" s="4">
        <v>-2.2000000000000002</v>
      </c>
      <c r="H95" s="4">
        <f t="shared" si="10"/>
        <v>-2.2000000000000002</v>
      </c>
      <c r="I95" s="4">
        <f t="shared" si="11"/>
        <v>-1.47</v>
      </c>
    </row>
    <row r="96" spans="1:9" x14ac:dyDescent="0.35">
      <c r="B96" s="4" t="s">
        <v>16</v>
      </c>
      <c r="C96" s="4" t="s">
        <v>17</v>
      </c>
      <c r="D96" s="4">
        <v>45</v>
      </c>
      <c r="E96" s="4">
        <v>50</v>
      </c>
      <c r="H96" s="4">
        <f t="shared" si="10"/>
        <v>50</v>
      </c>
      <c r="I96" s="4">
        <f t="shared" si="11"/>
        <v>66.5</v>
      </c>
    </row>
    <row r="97" spans="1:9" x14ac:dyDescent="0.35">
      <c r="B97" s="4" t="s">
        <v>16</v>
      </c>
      <c r="C97" s="4" t="s">
        <v>61</v>
      </c>
      <c r="D97" s="4">
        <v>0.67</v>
      </c>
      <c r="E97" s="4">
        <v>1</v>
      </c>
      <c r="H97" s="4">
        <f t="shared" si="10"/>
        <v>1</v>
      </c>
      <c r="I97" s="4">
        <f t="shared" si="11"/>
        <v>1.33</v>
      </c>
    </row>
    <row r="98" spans="1:9" x14ac:dyDescent="0.35">
      <c r="B98" s="4" t="s">
        <v>18</v>
      </c>
      <c r="C98" s="4" t="s">
        <v>62</v>
      </c>
      <c r="D98" s="4">
        <v>0.26</v>
      </c>
      <c r="E98" s="4">
        <v>0.35</v>
      </c>
      <c r="H98" s="4">
        <f t="shared" si="10"/>
        <v>0.35</v>
      </c>
      <c r="I98" s="4">
        <f t="shared" si="11"/>
        <v>0.47</v>
      </c>
    </row>
    <row r="99" spans="1:9" x14ac:dyDescent="0.35">
      <c r="B99" s="4" t="s">
        <v>18</v>
      </c>
      <c r="C99" s="4" t="s">
        <v>20</v>
      </c>
      <c r="D99" s="4">
        <v>0.21</v>
      </c>
      <c r="E99" s="4">
        <v>0.25</v>
      </c>
      <c r="H99" s="4">
        <f t="shared" si="10"/>
        <v>0.25</v>
      </c>
      <c r="I99" s="4">
        <f t="shared" si="11"/>
        <v>0.33</v>
      </c>
    </row>
    <row r="101" spans="1:9" x14ac:dyDescent="0.35">
      <c r="A101" s="2" t="s">
        <v>63</v>
      </c>
      <c r="G101" s="3" t="s">
        <v>64</v>
      </c>
    </row>
    <row r="102" spans="1:9" x14ac:dyDescent="0.35">
      <c r="B102" s="4" t="s">
        <v>11</v>
      </c>
      <c r="C102" s="4" t="s">
        <v>12</v>
      </c>
      <c r="D102" s="4">
        <v>12339</v>
      </c>
      <c r="E102" s="4">
        <v>14538</v>
      </c>
      <c r="H102" s="4">
        <f>E102</f>
        <v>14538</v>
      </c>
      <c r="I102" s="4">
        <f>ROUND(E102+0.33*ABS(E102),0)</f>
        <v>19336</v>
      </c>
    </row>
    <row r="103" spans="1:9" x14ac:dyDescent="0.35">
      <c r="B103" s="4" t="s">
        <v>13</v>
      </c>
      <c r="C103" s="4" t="s">
        <v>14</v>
      </c>
      <c r="D103" s="4">
        <v>90</v>
      </c>
      <c r="E103" s="4">
        <v>100</v>
      </c>
      <c r="H103" s="4">
        <f>E103</f>
        <v>100</v>
      </c>
      <c r="I103" s="4">
        <f>ROUND(E103+0.33*ABS(E103),2)</f>
        <v>133</v>
      </c>
    </row>
    <row r="104" spans="1:9" x14ac:dyDescent="0.35">
      <c r="B104" s="4" t="s">
        <v>13</v>
      </c>
      <c r="C104" s="4" t="s">
        <v>15</v>
      </c>
      <c r="D104" s="4">
        <v>-2.29</v>
      </c>
      <c r="E104" s="4">
        <v>-2.2000000000000002</v>
      </c>
      <c r="H104" s="4">
        <f>E104</f>
        <v>-2.2000000000000002</v>
      </c>
      <c r="I104" s="4">
        <f>ROUND(E104+0.33*ABS(E104),2)</f>
        <v>-1.47</v>
      </c>
    </row>
    <row r="105" spans="1:9" x14ac:dyDescent="0.35">
      <c r="B105" s="4" t="s">
        <v>16</v>
      </c>
      <c r="C105" s="4" t="s">
        <v>65</v>
      </c>
      <c r="D105" s="4">
        <v>0.06</v>
      </c>
      <c r="E105" s="4">
        <v>0.1</v>
      </c>
      <c r="H105" s="4">
        <f>E105</f>
        <v>0.1</v>
      </c>
      <c r="I105" s="4">
        <f>ROUND(E105+0.33*ABS(E105),2)</f>
        <v>0.13</v>
      </c>
    </row>
    <row r="106" spans="1:9" x14ac:dyDescent="0.35">
      <c r="B106" s="4" t="s">
        <v>18</v>
      </c>
      <c r="C106" s="4" t="s">
        <v>20</v>
      </c>
      <c r="D106" s="4">
        <v>0.21</v>
      </c>
      <c r="E106" s="4">
        <v>0.25</v>
      </c>
      <c r="H106" s="4">
        <f>E106</f>
        <v>0.25</v>
      </c>
      <c r="I106" s="4">
        <f>ROUND(E106+0.33*ABS(E106),2)</f>
        <v>0.33</v>
      </c>
    </row>
    <row r="108" spans="1:9" x14ac:dyDescent="0.35">
      <c r="A108" s="2" t="s">
        <v>66</v>
      </c>
      <c r="G108" s="3" t="s">
        <v>67</v>
      </c>
    </row>
    <row r="109" spans="1:9" x14ac:dyDescent="0.35">
      <c r="B109" s="4" t="s">
        <v>11</v>
      </c>
      <c r="C109" s="4" t="s">
        <v>12</v>
      </c>
      <c r="D109" s="4">
        <v>12339</v>
      </c>
      <c r="E109" s="4">
        <v>14538</v>
      </c>
      <c r="H109" s="4">
        <f>E109</f>
        <v>14538</v>
      </c>
      <c r="I109" s="4">
        <f>ROUND(E109+0.33*ABS(E109),0)</f>
        <v>19336</v>
      </c>
    </row>
    <row r="110" spans="1:9" x14ac:dyDescent="0.35">
      <c r="B110" s="4" t="s">
        <v>13</v>
      </c>
      <c r="C110" s="4" t="s">
        <v>14</v>
      </c>
      <c r="D110" s="4">
        <v>90</v>
      </c>
      <c r="E110" s="4">
        <v>100</v>
      </c>
      <c r="H110" s="4">
        <f>E110</f>
        <v>100</v>
      </c>
      <c r="I110" s="4">
        <f>ROUND(E110+0.33*ABS(E110),2)</f>
        <v>133</v>
      </c>
    </row>
    <row r="111" spans="1:9" x14ac:dyDescent="0.35">
      <c r="B111" s="4" t="s">
        <v>13</v>
      </c>
      <c r="C111" s="4" t="s">
        <v>15</v>
      </c>
      <c r="D111" s="4">
        <v>-2.29</v>
      </c>
      <c r="E111" s="4">
        <v>-2.2000000000000002</v>
      </c>
      <c r="H111" s="4">
        <f>E111</f>
        <v>-2.2000000000000002</v>
      </c>
      <c r="I111" s="4">
        <f>ROUND(E111+0.33*ABS(E111),2)</f>
        <v>-1.47</v>
      </c>
    </row>
    <row r="112" spans="1:9" x14ac:dyDescent="0.35">
      <c r="B112" s="4" t="s">
        <v>13</v>
      </c>
      <c r="C112" s="4" t="s">
        <v>68</v>
      </c>
      <c r="D112" s="4">
        <v>0.71</v>
      </c>
      <c r="E112" s="4">
        <v>0.81</v>
      </c>
      <c r="H112" s="4">
        <f>E112</f>
        <v>0.81</v>
      </c>
      <c r="I112" s="4">
        <f>ROUND(E112+0.33*ABS(E112),2)</f>
        <v>1.08</v>
      </c>
    </row>
    <row r="113" spans="1:9" x14ac:dyDescent="0.35">
      <c r="B113" s="4" t="s">
        <v>16</v>
      </c>
      <c r="C113" s="4" t="s">
        <v>14</v>
      </c>
      <c r="D113" s="4">
        <v>49</v>
      </c>
      <c r="E113" s="4">
        <v>55</v>
      </c>
      <c r="H113" s="4">
        <f>E113</f>
        <v>55</v>
      </c>
      <c r="I113" s="4">
        <f>ROUND(E113+0.33*ABS(E113),2)</f>
        <v>73.150000000000006</v>
      </c>
    </row>
    <row r="114" spans="1:9" x14ac:dyDescent="0.35">
      <c r="B114" s="4" t="s">
        <v>16</v>
      </c>
      <c r="C114" s="4" t="s">
        <v>69</v>
      </c>
      <c r="D114" s="5" t="s">
        <v>70</v>
      </c>
      <c r="H114" s="6"/>
    </row>
    <row r="115" spans="1:9" x14ac:dyDescent="0.35">
      <c r="B115" s="4" t="s">
        <v>18</v>
      </c>
      <c r="C115" s="4" t="s">
        <v>71</v>
      </c>
      <c r="D115" s="5" t="s">
        <v>72</v>
      </c>
      <c r="H115" s="5" t="str">
        <f>D115</f>
        <v>{"chance": {"min": 0.05, "max": 0.2, "step": 0.01}, "amount": {"min": 2.0, "max": 2.0, "step": 0.0}}</v>
      </c>
    </row>
    <row r="117" spans="1:9" x14ac:dyDescent="0.35">
      <c r="A117" s="2" t="s">
        <v>73</v>
      </c>
      <c r="G117" s="3" t="s">
        <v>74</v>
      </c>
    </row>
    <row r="118" spans="1:9" x14ac:dyDescent="0.35">
      <c r="B118" s="4" t="s">
        <v>11</v>
      </c>
      <c r="C118" s="4" t="s">
        <v>12</v>
      </c>
      <c r="D118" s="4">
        <v>12339</v>
      </c>
      <c r="E118" s="4">
        <v>14538</v>
      </c>
      <c r="H118" s="4">
        <f>E118</f>
        <v>14538</v>
      </c>
      <c r="I118" s="4">
        <f>ROUND(E118+0.33*ABS(E118),0)</f>
        <v>19336</v>
      </c>
    </row>
    <row r="119" spans="1:9" x14ac:dyDescent="0.35">
      <c r="B119" s="4" t="s">
        <v>13</v>
      </c>
      <c r="C119" s="4" t="s">
        <v>14</v>
      </c>
      <c r="D119" s="4">
        <v>90</v>
      </c>
      <c r="E119" s="4">
        <v>100</v>
      </c>
      <c r="H119" s="4">
        <f>E119</f>
        <v>100</v>
      </c>
      <c r="I119" s="4">
        <f>ROUND(E119+0.33*ABS(E119),2)</f>
        <v>133</v>
      </c>
    </row>
    <row r="120" spans="1:9" x14ac:dyDescent="0.35">
      <c r="B120" s="4" t="s">
        <v>13</v>
      </c>
      <c r="C120" s="4" t="s">
        <v>15</v>
      </c>
      <c r="D120" s="4">
        <v>-2.29</v>
      </c>
      <c r="E120" s="4">
        <v>-2.2000000000000002</v>
      </c>
      <c r="H120" s="4">
        <f>E120</f>
        <v>-2.2000000000000002</v>
      </c>
      <c r="I120" s="4">
        <f>ROUND(E120+0.33*ABS(E120),2)</f>
        <v>-1.47</v>
      </c>
    </row>
    <row r="121" spans="1:9" x14ac:dyDescent="0.35">
      <c r="B121" s="4" t="s">
        <v>16</v>
      </c>
      <c r="C121" s="4" t="s">
        <v>17</v>
      </c>
      <c r="D121" s="4">
        <v>45</v>
      </c>
      <c r="E121" s="4">
        <v>50</v>
      </c>
      <c r="H121" s="4">
        <f>E121</f>
        <v>50</v>
      </c>
      <c r="I121" s="4">
        <f>ROUND(E121+0.33*ABS(E121),2)</f>
        <v>66.5</v>
      </c>
    </row>
    <row r="122" spans="1:9" x14ac:dyDescent="0.35">
      <c r="B122" s="4" t="s">
        <v>18</v>
      </c>
      <c r="C122" s="4" t="s">
        <v>20</v>
      </c>
      <c r="D122" s="4">
        <v>0.21</v>
      </c>
      <c r="E122" s="4">
        <v>0.25</v>
      </c>
      <c r="H122" s="4">
        <f>E122</f>
        <v>0.25</v>
      </c>
      <c r="I122" s="4">
        <f>ROUND(E122+0.33*ABS(E122),2)</f>
        <v>0.33</v>
      </c>
    </row>
    <row r="123" spans="1:9" x14ac:dyDescent="0.35">
      <c r="B123" s="4" t="s">
        <v>18</v>
      </c>
      <c r="C123" s="4" t="s">
        <v>75</v>
      </c>
      <c r="D123" s="5" t="s">
        <v>76</v>
      </c>
      <c r="H123" s="5" t="str">
        <f>D123</f>
        <v>{"hitsRequired": {"min": 6, "max": 10, "step": 1}, "radius": {"min": 3.0, "max": 6.0, "step": 1}, "percentAbilityPower": {"min": 0.5, "max": 2.0, "step": 0.05}}</v>
      </c>
    </row>
    <row r="125" spans="1:9" x14ac:dyDescent="0.35">
      <c r="A125" s="2" t="s">
        <v>77</v>
      </c>
      <c r="G125" s="3" t="s">
        <v>78</v>
      </c>
    </row>
    <row r="126" spans="1:9" x14ac:dyDescent="0.35">
      <c r="B126" s="4" t="s">
        <v>11</v>
      </c>
      <c r="C126" s="4" t="s">
        <v>12</v>
      </c>
      <c r="D126" s="4">
        <v>12339</v>
      </c>
      <c r="E126" s="4">
        <v>14538</v>
      </c>
      <c r="H126" s="4">
        <f>E126</f>
        <v>14538</v>
      </c>
      <c r="I126" s="4">
        <f>ROUND(E126+0.33*ABS(E126),0)</f>
        <v>19336</v>
      </c>
    </row>
    <row r="127" spans="1:9" x14ac:dyDescent="0.35">
      <c r="B127" s="4" t="s">
        <v>13</v>
      </c>
      <c r="C127" s="4" t="s">
        <v>14</v>
      </c>
      <c r="D127" s="4">
        <v>109</v>
      </c>
      <c r="E127" s="4">
        <v>132</v>
      </c>
      <c r="H127" s="4">
        <f>E127</f>
        <v>132</v>
      </c>
      <c r="I127" s="4">
        <f>ROUND(E127+0.33*ABS(E127),2)</f>
        <v>175.56</v>
      </c>
    </row>
    <row r="128" spans="1:9" x14ac:dyDescent="0.35">
      <c r="B128" s="4" t="s">
        <v>13</v>
      </c>
      <c r="C128" s="4" t="s">
        <v>15</v>
      </c>
      <c r="D128" s="4">
        <v>-3.5</v>
      </c>
      <c r="E128" s="4">
        <v>-3.35</v>
      </c>
      <c r="H128" s="4">
        <f>E128</f>
        <v>-3.35</v>
      </c>
      <c r="I128" s="4">
        <f>ROUND(E128+0.33*ABS(E128),2)</f>
        <v>-2.2400000000000002</v>
      </c>
    </row>
    <row r="129" spans="1:9" x14ac:dyDescent="0.35">
      <c r="B129" s="4" t="s">
        <v>16</v>
      </c>
      <c r="C129" s="4" t="s">
        <v>79</v>
      </c>
      <c r="D129" s="4">
        <v>0.51</v>
      </c>
      <c r="E129" s="4">
        <v>0.75</v>
      </c>
      <c r="H129" s="4">
        <f>E129</f>
        <v>0.75</v>
      </c>
      <c r="I129" s="4">
        <f>ROUND(E129+0.33*ABS(E129),2)</f>
        <v>1</v>
      </c>
    </row>
    <row r="131" spans="1:9" x14ac:dyDescent="0.35">
      <c r="A131" s="2" t="s">
        <v>80</v>
      </c>
      <c r="G131" s="3" t="s">
        <v>81</v>
      </c>
    </row>
    <row r="132" spans="1:9" x14ac:dyDescent="0.35">
      <c r="B132" s="4" t="s">
        <v>11</v>
      </c>
      <c r="C132" s="4" t="s">
        <v>12</v>
      </c>
      <c r="D132" s="4">
        <v>12339</v>
      </c>
      <c r="E132" s="4">
        <v>14538</v>
      </c>
      <c r="H132" s="4">
        <f>E132</f>
        <v>14538</v>
      </c>
      <c r="I132" s="4">
        <f>ROUND(E132+0.33*ABS(E132),0)</f>
        <v>19336</v>
      </c>
    </row>
    <row r="133" spans="1:9" x14ac:dyDescent="0.35">
      <c r="B133" s="4" t="s">
        <v>13</v>
      </c>
      <c r="C133" s="4" t="s">
        <v>14</v>
      </c>
      <c r="D133" s="4">
        <v>109</v>
      </c>
      <c r="E133" s="4">
        <v>132</v>
      </c>
      <c r="H133" s="4">
        <f>E133</f>
        <v>132</v>
      </c>
      <c r="I133" s="4">
        <f>ROUND(E133+0.33*ABS(E133),2)</f>
        <v>175.56</v>
      </c>
    </row>
    <row r="134" spans="1:9" x14ac:dyDescent="0.35">
      <c r="B134" s="4" t="s">
        <v>13</v>
      </c>
      <c r="C134" s="4" t="s">
        <v>15</v>
      </c>
      <c r="D134" s="4">
        <v>-2.85</v>
      </c>
      <c r="E134" s="4">
        <v>-2.6</v>
      </c>
      <c r="H134" s="4">
        <f>E134</f>
        <v>-2.6</v>
      </c>
      <c r="I134" s="4">
        <f>ROUND(E134+0.33*ABS(E134),2)</f>
        <v>-1.74</v>
      </c>
    </row>
    <row r="135" spans="1:9" x14ac:dyDescent="0.35">
      <c r="B135" s="4" t="s">
        <v>16</v>
      </c>
      <c r="C135" s="4" t="s">
        <v>82</v>
      </c>
      <c r="D135" s="4">
        <v>0.3</v>
      </c>
      <c r="E135" s="4">
        <v>0.4</v>
      </c>
      <c r="H135" s="4">
        <f>E135</f>
        <v>0.4</v>
      </c>
      <c r="I135" s="4">
        <f>ROUND(E135+0.33*ABS(E135),2)</f>
        <v>0.53</v>
      </c>
    </row>
    <row r="136" spans="1:9" x14ac:dyDescent="0.35">
      <c r="B136" s="4" t="s">
        <v>16</v>
      </c>
      <c r="C136" s="4" t="s">
        <v>19</v>
      </c>
      <c r="D136" s="4">
        <v>0.41</v>
      </c>
      <c r="E136" s="4">
        <v>0.5</v>
      </c>
      <c r="H136" s="4">
        <f>E136</f>
        <v>0.5</v>
      </c>
      <c r="I136" s="4">
        <f>ROUND(E136+0.33*ABS(E136),2)</f>
        <v>0.67</v>
      </c>
    </row>
    <row r="137" spans="1:9" x14ac:dyDescent="0.35">
      <c r="B137" s="4" t="s">
        <v>18</v>
      </c>
      <c r="C137" s="4" t="s">
        <v>83</v>
      </c>
      <c r="D137" s="5" t="s">
        <v>84</v>
      </c>
      <c r="H137" s="5" t="str">
        <f>D137</f>
        <v>{"tooltipDisplayName": "Poison VII", "potion": "minecraft:empty", "additionalEffects": [{"effect": "minecraft:poison", "duration": 100, "amplifier": 16, "showParticles": true, "showIcon": true}], "duration": 300, "radius": 6.0, "color": 4236591, "affectsOwner": false, "triggerChance": 0.15}</v>
      </c>
    </row>
    <row r="139" spans="1:9" x14ac:dyDescent="0.35">
      <c r="A139" s="2" t="s">
        <v>85</v>
      </c>
      <c r="G139" s="3" t="s">
        <v>86</v>
      </c>
    </row>
    <row r="140" spans="1:9" x14ac:dyDescent="0.35">
      <c r="B140" s="4" t="s">
        <v>11</v>
      </c>
      <c r="C140" s="4" t="s">
        <v>12</v>
      </c>
      <c r="D140" s="4">
        <v>12339</v>
      </c>
      <c r="E140" s="4">
        <v>14538</v>
      </c>
      <c r="H140" s="4">
        <f>E140</f>
        <v>14538</v>
      </c>
      <c r="I140" s="4">
        <f>ROUND(E140+0.33*ABS(E140),0)</f>
        <v>19336</v>
      </c>
    </row>
    <row r="141" spans="1:9" x14ac:dyDescent="0.35">
      <c r="B141" s="4" t="s">
        <v>13</v>
      </c>
      <c r="C141" s="4" t="s">
        <v>14</v>
      </c>
      <c r="D141" s="4">
        <v>70</v>
      </c>
      <c r="E141" s="4">
        <v>80</v>
      </c>
      <c r="H141" s="4">
        <f>E141</f>
        <v>80</v>
      </c>
      <c r="I141" s="4">
        <f>ROUND(E141+0.33*ABS(E141),2)</f>
        <v>106.4</v>
      </c>
    </row>
    <row r="142" spans="1:9" x14ac:dyDescent="0.35">
      <c r="B142" s="4" t="s">
        <v>13</v>
      </c>
      <c r="C142" s="4" t="s">
        <v>87</v>
      </c>
      <c r="D142" s="4">
        <v>4</v>
      </c>
      <c r="E142" s="4">
        <v>6</v>
      </c>
      <c r="H142" s="4">
        <f>E142</f>
        <v>6</v>
      </c>
      <c r="I142" s="4">
        <f>ROUND(E142+0.33*ABS(E142),0)</f>
        <v>8</v>
      </c>
    </row>
    <row r="143" spans="1:9" x14ac:dyDescent="0.35">
      <c r="B143" s="4" t="s">
        <v>13</v>
      </c>
      <c r="C143" s="4" t="s">
        <v>88</v>
      </c>
      <c r="D143" s="5" t="s">
        <v>37</v>
      </c>
      <c r="H143" s="5" t="str">
        <f>D143</f>
        <v>{"flag": true}</v>
      </c>
    </row>
    <row r="144" spans="1:9" x14ac:dyDescent="0.35">
      <c r="B144" s="4" t="s">
        <v>16</v>
      </c>
      <c r="C144" s="4" t="s">
        <v>89</v>
      </c>
      <c r="D144" s="4">
        <v>0.75</v>
      </c>
      <c r="E144" s="4">
        <v>1</v>
      </c>
      <c r="H144" s="4">
        <f>E144</f>
        <v>1</v>
      </c>
      <c r="I144" s="4">
        <f>ROUND(E144+0.33*ABS(E144),2)</f>
        <v>1.33</v>
      </c>
    </row>
    <row r="145" spans="1:9" x14ac:dyDescent="0.35">
      <c r="B145" s="4" t="s">
        <v>16</v>
      </c>
      <c r="C145" s="4" t="s">
        <v>90</v>
      </c>
      <c r="D145" s="4">
        <v>0.5</v>
      </c>
      <c r="E145" s="4">
        <v>0.75</v>
      </c>
      <c r="H145" s="4">
        <f>E145</f>
        <v>0.75</v>
      </c>
      <c r="I145" s="4">
        <f>ROUND(E145+0.33*ABS(E145),2)</f>
        <v>1</v>
      </c>
    </row>
    <row r="146" spans="1:9" x14ac:dyDescent="0.35">
      <c r="B146" s="4" t="s">
        <v>16</v>
      </c>
      <c r="C146" s="4" t="s">
        <v>91</v>
      </c>
      <c r="D146" s="4">
        <v>0.5</v>
      </c>
      <c r="E146" s="4">
        <v>0.75</v>
      </c>
      <c r="H146" s="4">
        <f>E146</f>
        <v>0.75</v>
      </c>
      <c r="I146" s="4">
        <f>ROUND(E146+0.33*ABS(E146),2)</f>
        <v>1</v>
      </c>
    </row>
    <row r="147" spans="1:9" x14ac:dyDescent="0.35">
      <c r="B147" s="4" t="s">
        <v>18</v>
      </c>
      <c r="C147" s="4" t="s">
        <v>24</v>
      </c>
      <c r="D147" s="4">
        <v>0.25</v>
      </c>
      <c r="E147" s="4">
        <v>0.25</v>
      </c>
      <c r="H147" s="4">
        <f>E147</f>
        <v>0.25</v>
      </c>
      <c r="I147" s="4">
        <f>ROUND(E147+0.33*ABS(E147),2)</f>
        <v>0.33</v>
      </c>
    </row>
    <row r="148" spans="1:9" x14ac:dyDescent="0.35">
      <c r="B148" s="4" t="s">
        <v>18</v>
      </c>
      <c r="C148" s="4" t="s">
        <v>83</v>
      </c>
      <c r="D148" s="5" t="s">
        <v>92</v>
      </c>
      <c r="H148" s="5" t="str">
        <f>D148</f>
        <v>{"tooltipDisplayName": "Slowness I", "potion": "minecraft:empty", "additionalEffects": [{"effect": "minecraft:slowness", "duration": 140, "amplifier": 0}], "duration": 120, "radius": 4.0, "color": 5926017, "affectsOwner": false, "triggerChance": 0.05}</v>
      </c>
    </row>
    <row r="150" spans="1:9" x14ac:dyDescent="0.35">
      <c r="A150" s="2" t="s">
        <v>93</v>
      </c>
      <c r="G150" s="3" t="s">
        <v>94</v>
      </c>
    </row>
    <row r="151" spans="1:9" x14ac:dyDescent="0.35">
      <c r="B151" s="4" t="s">
        <v>11</v>
      </c>
      <c r="C151" s="4" t="s">
        <v>12</v>
      </c>
      <c r="D151" s="4">
        <v>12339</v>
      </c>
      <c r="E151" s="4">
        <v>14538</v>
      </c>
      <c r="H151" s="4">
        <f t="shared" ref="H151:H156" si="12">E151</f>
        <v>14538</v>
      </c>
      <c r="I151" s="4">
        <f>ROUND(E151+0.33*ABS(E151),0)</f>
        <v>19336</v>
      </c>
    </row>
    <row r="152" spans="1:9" x14ac:dyDescent="0.35">
      <c r="B152" s="4" t="s">
        <v>13</v>
      </c>
      <c r="C152" s="4" t="s">
        <v>14</v>
      </c>
      <c r="D152" s="4">
        <v>95</v>
      </c>
      <c r="E152" s="4">
        <v>115</v>
      </c>
      <c r="H152" s="4">
        <f t="shared" si="12"/>
        <v>115</v>
      </c>
      <c r="I152" s="4">
        <f>ROUND(E152+0.33*ABS(E152),2)</f>
        <v>152.94999999999999</v>
      </c>
    </row>
    <row r="153" spans="1:9" x14ac:dyDescent="0.35">
      <c r="B153" s="4" t="s">
        <v>13</v>
      </c>
      <c r="C153" s="4" t="s">
        <v>87</v>
      </c>
      <c r="D153" s="4">
        <v>3</v>
      </c>
      <c r="E153" s="4">
        <v>4</v>
      </c>
      <c r="H153" s="4">
        <f t="shared" si="12"/>
        <v>4</v>
      </c>
      <c r="I153" s="4">
        <f>ROUND(E153+0.33*ABS(E153),0)</f>
        <v>5</v>
      </c>
    </row>
    <row r="154" spans="1:9" x14ac:dyDescent="0.35">
      <c r="B154" s="4" t="s">
        <v>16</v>
      </c>
      <c r="C154" s="4" t="s">
        <v>95</v>
      </c>
      <c r="D154" s="4">
        <v>0.5</v>
      </c>
      <c r="E154" s="4">
        <v>0.75</v>
      </c>
      <c r="H154" s="4">
        <f t="shared" si="12"/>
        <v>0.75</v>
      </c>
      <c r="I154" s="4">
        <f>ROUND(E154+0.33*ABS(E154),2)</f>
        <v>1</v>
      </c>
    </row>
    <row r="155" spans="1:9" x14ac:dyDescent="0.35">
      <c r="B155" s="4" t="s">
        <v>16</v>
      </c>
      <c r="C155" s="4" t="s">
        <v>96</v>
      </c>
      <c r="D155" s="4">
        <v>0.5</v>
      </c>
      <c r="E155" s="4">
        <v>1</v>
      </c>
      <c r="H155" s="4">
        <f t="shared" si="12"/>
        <v>1</v>
      </c>
      <c r="I155" s="4">
        <f>ROUND(E155+0.33*ABS(E155),2)</f>
        <v>1.33</v>
      </c>
    </row>
    <row r="156" spans="1:9" x14ac:dyDescent="0.35">
      <c r="B156" s="4" t="s">
        <v>16</v>
      </c>
      <c r="C156" s="4" t="s">
        <v>97</v>
      </c>
      <c r="D156" s="4">
        <v>0.25</v>
      </c>
      <c r="E156" s="4">
        <v>0.25</v>
      </c>
      <c r="H156" s="4">
        <f t="shared" si="12"/>
        <v>0.25</v>
      </c>
      <c r="I156" s="4">
        <f>ROUND(E156+0.33*ABS(E156),2)</f>
        <v>0.33</v>
      </c>
    </row>
    <row r="157" spans="1:9" x14ac:dyDescent="0.35">
      <c r="B157" s="4" t="s">
        <v>18</v>
      </c>
      <c r="C157" s="4" t="s">
        <v>83</v>
      </c>
      <c r="D157" s="5" t="s">
        <v>98</v>
      </c>
      <c r="H157" s="5" t="str">
        <f>D157</f>
        <v>{"tooltipDisplayName": "Healing I", "potion": "minecraft:empty", "additionalEffects": [{"effect": "minecraft:instant_health", "duration": 20, "amplifier": 0}], "duration": 80, "radius": 4.0, "color": 16262179, "affectsOwner": true, "triggerChance": 0.05}</v>
      </c>
    </row>
    <row r="158" spans="1:9" x14ac:dyDescent="0.35">
      <c r="B158" s="4" t="s">
        <v>18</v>
      </c>
      <c r="C158" s="4" t="s">
        <v>38</v>
      </c>
      <c r="D158" s="4">
        <v>0.06</v>
      </c>
      <c r="E158" s="4">
        <v>0.15</v>
      </c>
      <c r="H158" s="4">
        <f>E158</f>
        <v>0.15</v>
      </c>
      <c r="I158" s="4">
        <f>ROUND(E158+0.33*ABS(E158),2)</f>
        <v>0.2</v>
      </c>
    </row>
    <row r="160" spans="1:9" x14ac:dyDescent="0.35">
      <c r="A160" s="2" t="s">
        <v>99</v>
      </c>
      <c r="G160" s="3" t="s">
        <v>100</v>
      </c>
    </row>
    <row r="161" spans="1:9" x14ac:dyDescent="0.35">
      <c r="B161" s="4" t="s">
        <v>11</v>
      </c>
      <c r="C161" s="4" t="s">
        <v>12</v>
      </c>
      <c r="D161" s="4">
        <v>12339</v>
      </c>
      <c r="E161" s="4">
        <v>14538</v>
      </c>
      <c r="H161" s="4">
        <f t="shared" ref="H161:H171" si="13">E161</f>
        <v>14538</v>
      </c>
      <c r="I161" s="4">
        <f>ROUND(E161+0.33*ABS(E161),0)</f>
        <v>19336</v>
      </c>
    </row>
    <row r="162" spans="1:9" x14ac:dyDescent="0.35">
      <c r="B162" s="4" t="s">
        <v>13</v>
      </c>
      <c r="C162" s="4" t="s">
        <v>15</v>
      </c>
      <c r="D162" s="4">
        <v>-2.5</v>
      </c>
      <c r="E162" s="4">
        <v>-2.4</v>
      </c>
      <c r="H162" s="4">
        <f t="shared" si="13"/>
        <v>-2.4</v>
      </c>
      <c r="I162" s="4">
        <f>ROUND(E162+0.33*ABS(E162),2)</f>
        <v>-1.61</v>
      </c>
    </row>
    <row r="163" spans="1:9" x14ac:dyDescent="0.35">
      <c r="B163" s="4" t="s">
        <v>13</v>
      </c>
      <c r="C163" s="4" t="s">
        <v>14</v>
      </c>
      <c r="D163" s="4">
        <v>60.5</v>
      </c>
      <c r="E163" s="4">
        <v>65</v>
      </c>
      <c r="H163" s="4">
        <f t="shared" si="13"/>
        <v>65</v>
      </c>
      <c r="I163" s="4">
        <f>ROUND(E163+0.33*ABS(E163),2)</f>
        <v>86.45</v>
      </c>
    </row>
    <row r="164" spans="1:9" x14ac:dyDescent="0.35">
      <c r="B164" s="4" t="s">
        <v>13</v>
      </c>
      <c r="C164" s="4" t="s">
        <v>101</v>
      </c>
      <c r="D164" s="4">
        <v>25</v>
      </c>
      <c r="E164" s="4">
        <v>30</v>
      </c>
      <c r="H164" s="4">
        <f t="shared" si="13"/>
        <v>30</v>
      </c>
      <c r="I164" s="4">
        <f>ROUND(E164+0.33*ABS(E164),2)</f>
        <v>39.9</v>
      </c>
    </row>
    <row r="165" spans="1:9" x14ac:dyDescent="0.35">
      <c r="B165" s="4" t="s">
        <v>13</v>
      </c>
      <c r="C165" s="4" t="s">
        <v>102</v>
      </c>
      <c r="D165" s="4">
        <v>7.0000000000000007E-2</v>
      </c>
      <c r="E165" s="4">
        <v>0.08</v>
      </c>
      <c r="H165" s="4">
        <f t="shared" si="13"/>
        <v>0.08</v>
      </c>
      <c r="I165" s="4">
        <f>ROUND(E165+0.33*ABS(E165),2)</f>
        <v>0.11</v>
      </c>
    </row>
    <row r="166" spans="1:9" x14ac:dyDescent="0.35">
      <c r="B166" s="4" t="s">
        <v>16</v>
      </c>
      <c r="C166" s="4" t="s">
        <v>103</v>
      </c>
      <c r="D166" s="4">
        <v>3</v>
      </c>
      <c r="E166" s="4">
        <v>3</v>
      </c>
      <c r="H166" s="4">
        <f t="shared" si="13"/>
        <v>3</v>
      </c>
      <c r="I166" s="4">
        <f>ROUND(E166+0.33*ABS(E166),0)</f>
        <v>4</v>
      </c>
    </row>
    <row r="167" spans="1:9" x14ac:dyDescent="0.35">
      <c r="B167" s="4" t="s">
        <v>16</v>
      </c>
      <c r="C167" s="4" t="s">
        <v>104</v>
      </c>
      <c r="D167" s="4">
        <v>3</v>
      </c>
      <c r="E167" s="4">
        <v>3</v>
      </c>
      <c r="H167" s="4">
        <f t="shared" si="13"/>
        <v>3</v>
      </c>
      <c r="I167" s="4">
        <f>ROUND(E167+0.33*ABS(E167),0)</f>
        <v>4</v>
      </c>
    </row>
    <row r="168" spans="1:9" x14ac:dyDescent="0.35">
      <c r="B168" s="4" t="s">
        <v>16</v>
      </c>
      <c r="C168" s="4" t="s">
        <v>105</v>
      </c>
      <c r="D168" s="4">
        <v>0.33</v>
      </c>
      <c r="E168" s="4">
        <v>0.33</v>
      </c>
      <c r="H168" s="4">
        <f t="shared" si="13"/>
        <v>0.33</v>
      </c>
      <c r="I168" s="4">
        <f>ROUND(E168+0.33*ABS(E168),2)</f>
        <v>0.44</v>
      </c>
    </row>
    <row r="169" spans="1:9" x14ac:dyDescent="0.35">
      <c r="B169" s="4" t="s">
        <v>18</v>
      </c>
      <c r="C169" s="4" t="s">
        <v>38</v>
      </c>
      <c r="D169" s="4">
        <v>0.03</v>
      </c>
      <c r="E169" s="4">
        <v>0.03</v>
      </c>
      <c r="H169" s="4">
        <f t="shared" si="13"/>
        <v>0.03</v>
      </c>
      <c r="I169" s="4">
        <f>ROUND(E169+0.33*ABS(E169),2)</f>
        <v>0.04</v>
      </c>
    </row>
    <row r="170" spans="1:9" x14ac:dyDescent="0.35">
      <c r="B170" s="4" t="s">
        <v>18</v>
      </c>
      <c r="C170" s="4" t="s">
        <v>25</v>
      </c>
      <c r="D170" s="4">
        <v>0.03</v>
      </c>
      <c r="E170" s="4">
        <v>0.03</v>
      </c>
      <c r="H170" s="4">
        <f t="shared" si="13"/>
        <v>0.03</v>
      </c>
      <c r="I170" s="4">
        <f>ROUND(E170+0.33*ABS(E170),2)</f>
        <v>0.04</v>
      </c>
    </row>
    <row r="171" spans="1:9" x14ac:dyDescent="0.35">
      <c r="B171" s="4" t="s">
        <v>18</v>
      </c>
      <c r="C171" s="4" t="s">
        <v>24</v>
      </c>
      <c r="D171" s="4">
        <v>0.03</v>
      </c>
      <c r="E171" s="4">
        <v>0.03</v>
      </c>
      <c r="H171" s="4">
        <f t="shared" si="13"/>
        <v>0.03</v>
      </c>
      <c r="I171" s="4">
        <f>ROUND(E171+0.33*ABS(E171),2)</f>
        <v>0.04</v>
      </c>
    </row>
    <row r="173" spans="1:9" x14ac:dyDescent="0.35">
      <c r="A173" s="2" t="s">
        <v>106</v>
      </c>
      <c r="G173" s="3" t="s">
        <v>107</v>
      </c>
    </row>
    <row r="174" spans="1:9" x14ac:dyDescent="0.35">
      <c r="B174" s="4" t="s">
        <v>11</v>
      </c>
      <c r="C174" s="4" t="s">
        <v>12</v>
      </c>
      <c r="D174" s="4">
        <v>12339</v>
      </c>
      <c r="E174" s="4">
        <v>14538</v>
      </c>
      <c r="H174" s="4">
        <f>E174</f>
        <v>14538</v>
      </c>
      <c r="I174" s="4">
        <f>ROUND(E174+0.33*ABS(E174),0)</f>
        <v>19336</v>
      </c>
    </row>
    <row r="175" spans="1:9" x14ac:dyDescent="0.35">
      <c r="B175" s="4" t="s">
        <v>13</v>
      </c>
      <c r="C175" s="4" t="s">
        <v>14</v>
      </c>
      <c r="D175" s="4">
        <v>14</v>
      </c>
      <c r="E175" s="4">
        <v>15</v>
      </c>
      <c r="H175" s="4">
        <f>E175</f>
        <v>15</v>
      </c>
      <c r="I175" s="4">
        <f>ROUND(E175+0.33*ABS(E175),2)</f>
        <v>19.95</v>
      </c>
    </row>
    <row r="176" spans="1:9" x14ac:dyDescent="0.35">
      <c r="B176" s="4" t="s">
        <v>13</v>
      </c>
      <c r="C176" s="4" t="s">
        <v>38</v>
      </c>
      <c r="D176" s="4">
        <v>0.45</v>
      </c>
      <c r="E176" s="4">
        <v>0.55000000000000004</v>
      </c>
      <c r="H176" s="4">
        <f>E176</f>
        <v>0.55000000000000004</v>
      </c>
      <c r="I176" s="4">
        <f>ROUND(E176+0.33*ABS(E176),2)</f>
        <v>0.73</v>
      </c>
    </row>
    <row r="177" spans="1:9" x14ac:dyDescent="0.35">
      <c r="B177" s="4" t="s">
        <v>13</v>
      </c>
      <c r="C177" s="4" t="s">
        <v>15</v>
      </c>
      <c r="D177" s="4">
        <v>-1.9</v>
      </c>
      <c r="E177" s="4">
        <v>-1.65</v>
      </c>
      <c r="H177" s="4">
        <f>E177</f>
        <v>-1.65</v>
      </c>
      <c r="I177" s="4">
        <f>ROUND(E177+0.33*ABS(E177),2)</f>
        <v>-1.1100000000000001</v>
      </c>
    </row>
    <row r="178" spans="1:9" x14ac:dyDescent="0.35">
      <c r="B178" s="4" t="s">
        <v>13</v>
      </c>
      <c r="C178" s="4" t="s">
        <v>19</v>
      </c>
      <c r="D178" s="4">
        <v>0.41</v>
      </c>
      <c r="E178" s="4">
        <v>0.5</v>
      </c>
      <c r="H178" s="4">
        <f>E178</f>
        <v>0.5</v>
      </c>
      <c r="I178" s="4">
        <f>ROUND(E178+0.33*ABS(E178),2)</f>
        <v>0.67</v>
      </c>
    </row>
    <row r="180" spans="1:9" x14ac:dyDescent="0.35">
      <c r="A180" s="2" t="s">
        <v>108</v>
      </c>
      <c r="G180" s="3" t="s">
        <v>109</v>
      </c>
    </row>
    <row r="181" spans="1:9" x14ac:dyDescent="0.35">
      <c r="B181" s="4" t="s">
        <v>11</v>
      </c>
      <c r="C181" s="4" t="s">
        <v>12</v>
      </c>
      <c r="D181" s="4">
        <v>12339</v>
      </c>
      <c r="E181" s="4">
        <v>14538</v>
      </c>
      <c r="H181" s="4">
        <f>E181</f>
        <v>14538</v>
      </c>
      <c r="I181" s="4">
        <f>ROUND(E181+0.33*ABS(E181),0)</f>
        <v>19336</v>
      </c>
    </row>
    <row r="182" spans="1:9" x14ac:dyDescent="0.35">
      <c r="B182" s="4" t="s">
        <v>13</v>
      </c>
      <c r="C182" s="4" t="s">
        <v>110</v>
      </c>
      <c r="D182" s="4">
        <v>28</v>
      </c>
      <c r="E182" s="4">
        <v>30</v>
      </c>
      <c r="H182" s="4">
        <f>E182</f>
        <v>30</v>
      </c>
      <c r="I182" s="4">
        <f>ROUND(E182+0.33*ABS(E182),0)</f>
        <v>40</v>
      </c>
    </row>
    <row r="183" spans="1:9" x14ac:dyDescent="0.35">
      <c r="B183" s="4" t="s">
        <v>13</v>
      </c>
      <c r="C183" s="4" t="s">
        <v>38</v>
      </c>
      <c r="D183" s="4">
        <v>0.05</v>
      </c>
      <c r="E183" s="4">
        <v>7.0000000000000007E-2</v>
      </c>
      <c r="H183" s="4">
        <f>E183</f>
        <v>7.0000000000000007E-2</v>
      </c>
      <c r="I183" s="4">
        <f>ROUND(E183+0.33*ABS(E183),2)</f>
        <v>0.09</v>
      </c>
    </row>
    <row r="184" spans="1:9" x14ac:dyDescent="0.35">
      <c r="B184" s="4" t="s">
        <v>18</v>
      </c>
      <c r="C184" s="4" t="s">
        <v>111</v>
      </c>
      <c r="D184" s="4">
        <v>0.2</v>
      </c>
      <c r="E184" s="4">
        <v>0.3</v>
      </c>
      <c r="H184" s="4">
        <f>E184</f>
        <v>0.3</v>
      </c>
      <c r="I184" s="4">
        <f>ROUND(E184+0.33*ABS(E184),2)</f>
        <v>0.4</v>
      </c>
    </row>
    <row r="185" spans="1:9" x14ac:dyDescent="0.35">
      <c r="B185" s="4" t="s">
        <v>18</v>
      </c>
      <c r="C185" s="4" t="s">
        <v>112</v>
      </c>
      <c r="D185" s="4">
        <v>0.5</v>
      </c>
      <c r="E185" s="4">
        <v>1</v>
      </c>
      <c r="H185" s="4">
        <f>E185</f>
        <v>1</v>
      </c>
      <c r="I185" s="4">
        <f>ROUND(E185+0.33*ABS(E185),2)</f>
        <v>1.33</v>
      </c>
    </row>
    <row r="187" spans="1:9" x14ac:dyDescent="0.35">
      <c r="A187" s="2" t="s">
        <v>113</v>
      </c>
      <c r="G187" s="3" t="s">
        <v>114</v>
      </c>
    </row>
    <row r="188" spans="1:9" x14ac:dyDescent="0.35">
      <c r="B188" s="4" t="s">
        <v>11</v>
      </c>
      <c r="C188" s="4" t="s">
        <v>12</v>
      </c>
      <c r="D188" s="4">
        <v>12339</v>
      </c>
      <c r="E188" s="4">
        <v>14538</v>
      </c>
      <c r="H188" s="4">
        <f>E188</f>
        <v>14538</v>
      </c>
      <c r="I188" s="4">
        <f>ROUND(E188+0.33*ABS(E188),0)</f>
        <v>19336</v>
      </c>
    </row>
    <row r="189" spans="1:9" x14ac:dyDescent="0.35">
      <c r="B189" s="4" t="s">
        <v>13</v>
      </c>
      <c r="C189" s="4" t="s">
        <v>17</v>
      </c>
      <c r="D189" s="4">
        <v>45</v>
      </c>
      <c r="E189" s="4">
        <v>50</v>
      </c>
      <c r="H189" s="4">
        <f>E189</f>
        <v>50</v>
      </c>
      <c r="I189" s="4">
        <f>ROUND(E189+0.33*ABS(E189),2)</f>
        <v>66.5</v>
      </c>
    </row>
    <row r="190" spans="1:9" x14ac:dyDescent="0.35">
      <c r="B190" s="4" t="s">
        <v>16</v>
      </c>
      <c r="C190" s="4" t="s">
        <v>41</v>
      </c>
      <c r="D190" s="5" t="s">
        <v>115</v>
      </c>
      <c r="H190" s="5" t="str">
        <f>D190</f>
        <v>{"abilityKey": "Storm_Arrow_Base", "levelChange": 2}</v>
      </c>
    </row>
    <row r="191" spans="1:9" x14ac:dyDescent="0.35">
      <c r="B191" s="4" t="s">
        <v>16</v>
      </c>
      <c r="C191" s="4" t="s">
        <v>116</v>
      </c>
      <c r="D191" s="4">
        <v>-0.8</v>
      </c>
      <c r="E191" s="4">
        <v>-0.6</v>
      </c>
      <c r="H191" s="4">
        <f>E191</f>
        <v>-0.6</v>
      </c>
      <c r="I191" s="4">
        <f>ROUND(E191+0.33*ABS(E191),2)</f>
        <v>-0.4</v>
      </c>
    </row>
    <row r="192" spans="1:9" x14ac:dyDescent="0.35">
      <c r="B192" s="4" t="s">
        <v>16</v>
      </c>
      <c r="C192" s="4" t="s">
        <v>117</v>
      </c>
      <c r="D192" s="4">
        <v>-0.75</v>
      </c>
      <c r="E192" s="4">
        <v>-0.5</v>
      </c>
      <c r="H192" s="4">
        <f>E192</f>
        <v>-0.5</v>
      </c>
      <c r="I192" s="4">
        <f>ROUND(E192+0.33*ABS(E192),2)</f>
        <v>-0.34</v>
      </c>
    </row>
    <row r="193" spans="1:9" x14ac:dyDescent="0.35">
      <c r="B193" s="4" t="s">
        <v>18</v>
      </c>
      <c r="C193" s="4" t="s">
        <v>118</v>
      </c>
      <c r="D193" s="4">
        <v>0.81</v>
      </c>
      <c r="E193" s="4">
        <v>1</v>
      </c>
      <c r="H193" s="4">
        <f>E193</f>
        <v>1</v>
      </c>
      <c r="I193" s="4">
        <f>ROUND(E193+0.33*ABS(E193),2)</f>
        <v>1.33</v>
      </c>
    </row>
    <row r="195" spans="1:9" x14ac:dyDescent="0.35">
      <c r="A195" s="2" t="s">
        <v>119</v>
      </c>
      <c r="G195" s="3" t="s">
        <v>120</v>
      </c>
    </row>
    <row r="196" spans="1:9" x14ac:dyDescent="0.35">
      <c r="B196" s="4" t="s">
        <v>11</v>
      </c>
      <c r="C196" s="4" t="s">
        <v>12</v>
      </c>
      <c r="D196" s="4">
        <v>12339</v>
      </c>
      <c r="E196" s="4">
        <v>14538</v>
      </c>
      <c r="H196" s="4">
        <f>E196</f>
        <v>14538</v>
      </c>
      <c r="I196" s="4">
        <f>ROUND(E196+0.33*ABS(E196),0)</f>
        <v>19336</v>
      </c>
    </row>
    <row r="197" spans="1:9" x14ac:dyDescent="0.35">
      <c r="B197" s="4" t="s">
        <v>13</v>
      </c>
      <c r="C197" s="4" t="s">
        <v>110</v>
      </c>
      <c r="D197" s="4">
        <v>28</v>
      </c>
      <c r="E197" s="4">
        <v>30</v>
      </c>
      <c r="H197" s="4">
        <f>E197</f>
        <v>30</v>
      </c>
      <c r="I197" s="4">
        <f>ROUND(E197+0.33*ABS(E197),0)</f>
        <v>40</v>
      </c>
    </row>
    <row r="198" spans="1:9" x14ac:dyDescent="0.35">
      <c r="B198" s="4" t="s">
        <v>16</v>
      </c>
      <c r="C198" s="4" t="s">
        <v>41</v>
      </c>
      <c r="D198" s="5" t="s">
        <v>121</v>
      </c>
      <c r="H198" s="5" t="str">
        <f>D198</f>
        <v>{"abilityKey": "Javelin_Scatter", "levelChange": 3}</v>
      </c>
    </row>
    <row r="199" spans="1:9" x14ac:dyDescent="0.35">
      <c r="B199" s="4" t="s">
        <v>16</v>
      </c>
      <c r="C199" s="4" t="s">
        <v>122</v>
      </c>
      <c r="D199" s="4">
        <v>0.28999999999999998</v>
      </c>
      <c r="E199" s="4">
        <v>0.35</v>
      </c>
      <c r="H199" s="4">
        <f>E199</f>
        <v>0.35</v>
      </c>
      <c r="I199" s="4">
        <f>ROUND(E199+0.33*ABS(E199),2)</f>
        <v>0.47</v>
      </c>
    </row>
    <row r="200" spans="1:9" x14ac:dyDescent="0.35">
      <c r="B200" s="4" t="s">
        <v>18</v>
      </c>
      <c r="C200" s="4" t="s">
        <v>123</v>
      </c>
      <c r="D200" s="4">
        <v>0.26</v>
      </c>
      <c r="E200" s="4">
        <v>0.28000000000000003</v>
      </c>
      <c r="H200" s="4">
        <f>E200</f>
        <v>0.28000000000000003</v>
      </c>
      <c r="I200" s="4">
        <f>ROUND(E200+0.33*ABS(E200),2)</f>
        <v>0.37</v>
      </c>
    </row>
    <row r="201" spans="1:9" x14ac:dyDescent="0.35">
      <c r="B201" s="4" t="s">
        <v>18</v>
      </c>
      <c r="C201" s="4" t="s">
        <v>118</v>
      </c>
      <c r="D201" s="4">
        <v>0.81</v>
      </c>
      <c r="E201" s="4">
        <v>1</v>
      </c>
      <c r="H201" s="4">
        <f>E201</f>
        <v>1</v>
      </c>
      <c r="I201" s="4">
        <f>ROUND(E201+0.33*ABS(E201),2)</f>
        <v>1.33</v>
      </c>
    </row>
    <row r="203" spans="1:9" x14ac:dyDescent="0.35">
      <c r="A203" s="2" t="s">
        <v>124</v>
      </c>
      <c r="G203" s="3" t="s">
        <v>125</v>
      </c>
    </row>
    <row r="204" spans="1:9" x14ac:dyDescent="0.35">
      <c r="B204" s="4" t="s">
        <v>11</v>
      </c>
      <c r="C204" s="4" t="s">
        <v>12</v>
      </c>
      <c r="D204" s="4">
        <v>12339</v>
      </c>
      <c r="E204" s="4">
        <v>14538</v>
      </c>
      <c r="H204" s="4">
        <f t="shared" ref="H204:H209" si="14">E204</f>
        <v>14538</v>
      </c>
      <c r="I204" s="4">
        <f>ROUND(E204+0.33*ABS(E204),0)</f>
        <v>19336</v>
      </c>
    </row>
    <row r="205" spans="1:9" x14ac:dyDescent="0.35">
      <c r="B205" s="4" t="s">
        <v>13</v>
      </c>
      <c r="C205" s="4" t="s">
        <v>110</v>
      </c>
      <c r="D205" s="4">
        <v>28</v>
      </c>
      <c r="E205" s="4">
        <v>30</v>
      </c>
      <c r="H205" s="4">
        <f t="shared" si="14"/>
        <v>30</v>
      </c>
      <c r="I205" s="4">
        <f>ROUND(E205+0.33*ABS(E205),0)</f>
        <v>40</v>
      </c>
    </row>
    <row r="206" spans="1:9" x14ac:dyDescent="0.35">
      <c r="B206" s="4" t="s">
        <v>13</v>
      </c>
      <c r="C206" s="4" t="s">
        <v>126</v>
      </c>
      <c r="D206" s="4">
        <v>0.16</v>
      </c>
      <c r="E206" s="4">
        <v>0.3</v>
      </c>
      <c r="H206" s="4">
        <f t="shared" si="14"/>
        <v>0.3</v>
      </c>
      <c r="I206" s="4">
        <f>ROUND(E206+0.33*ABS(E206),2)</f>
        <v>0.4</v>
      </c>
    </row>
    <row r="207" spans="1:9" x14ac:dyDescent="0.35">
      <c r="B207" s="4" t="s">
        <v>13</v>
      </c>
      <c r="C207" s="4" t="s">
        <v>17</v>
      </c>
      <c r="D207" s="4">
        <v>45</v>
      </c>
      <c r="E207" s="4">
        <v>50</v>
      </c>
      <c r="H207" s="4">
        <f t="shared" si="14"/>
        <v>50</v>
      </c>
      <c r="I207" s="4">
        <f>ROUND(E207+0.33*ABS(E207),2)</f>
        <v>66.5</v>
      </c>
    </row>
    <row r="208" spans="1:9" x14ac:dyDescent="0.35">
      <c r="B208" s="4" t="s">
        <v>16</v>
      </c>
      <c r="C208" s="4" t="s">
        <v>110</v>
      </c>
      <c r="D208" s="4">
        <v>8</v>
      </c>
      <c r="E208" s="4">
        <v>10</v>
      </c>
      <c r="H208" s="4">
        <f t="shared" si="14"/>
        <v>10</v>
      </c>
      <c r="I208" s="4">
        <f>ROUND(E208+0.33*ABS(E208),0)</f>
        <v>13</v>
      </c>
    </row>
    <row r="209" spans="1:9" x14ac:dyDescent="0.35">
      <c r="B209" s="4" t="s">
        <v>16</v>
      </c>
      <c r="C209" s="4" t="s">
        <v>127</v>
      </c>
      <c r="D209" s="4">
        <v>12</v>
      </c>
      <c r="E209" s="4">
        <v>12</v>
      </c>
      <c r="H209" s="4">
        <f t="shared" si="14"/>
        <v>12</v>
      </c>
      <c r="I209" s="4">
        <f>ROUND(E209+0.33*ABS(E209),0)</f>
        <v>16</v>
      </c>
    </row>
    <row r="210" spans="1:9" x14ac:dyDescent="0.35">
      <c r="B210" s="4" t="s">
        <v>16</v>
      </c>
      <c r="C210" s="4" t="s">
        <v>41</v>
      </c>
      <c r="D210" s="5" t="s">
        <v>128</v>
      </c>
      <c r="H210" s="5" t="str">
        <f>D210</f>
        <v>{"abilityKey": "Heal_Group", "levelChange": 2}</v>
      </c>
    </row>
    <row r="211" spans="1:9" x14ac:dyDescent="0.35">
      <c r="B211" s="4" t="s">
        <v>18</v>
      </c>
      <c r="C211" s="4" t="s">
        <v>117</v>
      </c>
      <c r="D211" s="4">
        <v>-0.75</v>
      </c>
      <c r="E211" s="4">
        <v>-0.25</v>
      </c>
      <c r="H211" s="4">
        <f>E211</f>
        <v>-0.25</v>
      </c>
      <c r="I211" s="4">
        <f>ROUND(E211+0.33*ABS(E211),2)</f>
        <v>-0.17</v>
      </c>
    </row>
    <row r="212" spans="1:9" x14ac:dyDescent="0.35">
      <c r="B212" s="4" t="s">
        <v>18</v>
      </c>
      <c r="C212" s="4" t="s">
        <v>129</v>
      </c>
      <c r="D212" s="4">
        <v>1</v>
      </c>
      <c r="E212" s="4">
        <v>1</v>
      </c>
      <c r="H212" s="4">
        <f>E212</f>
        <v>1</v>
      </c>
      <c r="I212" s="4">
        <f>ROUND(E212+0.33*ABS(E212),0)</f>
        <v>1</v>
      </c>
    </row>
    <row r="214" spans="1:9" x14ac:dyDescent="0.35">
      <c r="A214" s="2" t="s">
        <v>130</v>
      </c>
      <c r="G214" s="3" t="s">
        <v>131</v>
      </c>
    </row>
    <row r="215" spans="1:9" x14ac:dyDescent="0.35">
      <c r="B215" s="4" t="s">
        <v>11</v>
      </c>
      <c r="C215" s="4" t="s">
        <v>12</v>
      </c>
      <c r="D215" s="4">
        <v>12339</v>
      </c>
      <c r="E215" s="4">
        <v>14538</v>
      </c>
      <c r="H215" s="4">
        <f t="shared" ref="H215:H222" si="15">E215</f>
        <v>14538</v>
      </c>
      <c r="I215" s="4">
        <f>ROUND(E215+0.33*ABS(E215),0)</f>
        <v>19336</v>
      </c>
    </row>
    <row r="216" spans="1:9" x14ac:dyDescent="0.35">
      <c r="B216" s="4" t="s">
        <v>13</v>
      </c>
      <c r="C216" s="4" t="s">
        <v>110</v>
      </c>
      <c r="D216" s="4">
        <v>28</v>
      </c>
      <c r="E216" s="4">
        <v>30</v>
      </c>
      <c r="H216" s="4">
        <f t="shared" si="15"/>
        <v>30</v>
      </c>
      <c r="I216" s="4">
        <f>ROUND(E216+0.33*ABS(E216),0)</f>
        <v>40</v>
      </c>
    </row>
    <row r="217" spans="1:9" x14ac:dyDescent="0.35">
      <c r="B217" s="4" t="s">
        <v>13</v>
      </c>
      <c r="C217" s="4" t="s">
        <v>126</v>
      </c>
      <c r="D217" s="4">
        <v>0.21</v>
      </c>
      <c r="E217" s="4">
        <v>0.5</v>
      </c>
      <c r="H217" s="4">
        <f t="shared" si="15"/>
        <v>0.5</v>
      </c>
      <c r="I217" s="4">
        <f>ROUND(E217+0.33*ABS(E217),2)</f>
        <v>0.67</v>
      </c>
    </row>
    <row r="218" spans="1:9" x14ac:dyDescent="0.35">
      <c r="B218" s="4" t="s">
        <v>16</v>
      </c>
      <c r="C218" s="4" t="s">
        <v>110</v>
      </c>
      <c r="D218" s="4">
        <v>8</v>
      </c>
      <c r="E218" s="4">
        <v>10</v>
      </c>
      <c r="H218" s="4">
        <f t="shared" si="15"/>
        <v>10</v>
      </c>
      <c r="I218" s="4">
        <f>ROUND(E218+0.33*ABS(E218),0)</f>
        <v>13</v>
      </c>
    </row>
    <row r="219" spans="1:9" x14ac:dyDescent="0.35">
      <c r="B219" s="4" t="s">
        <v>16</v>
      </c>
      <c r="C219" s="4" t="s">
        <v>132</v>
      </c>
      <c r="D219" s="4">
        <v>0.13</v>
      </c>
      <c r="E219" s="4">
        <v>0.16</v>
      </c>
      <c r="H219" s="4">
        <f t="shared" si="15"/>
        <v>0.16</v>
      </c>
      <c r="I219" s="4">
        <f>ROUND(E219+0.33*ABS(E219),2)</f>
        <v>0.21</v>
      </c>
    </row>
    <row r="220" spans="1:9" x14ac:dyDescent="0.35">
      <c r="B220" s="4" t="s">
        <v>16</v>
      </c>
      <c r="C220" s="4" t="s">
        <v>132</v>
      </c>
      <c r="D220" s="4">
        <v>0.13</v>
      </c>
      <c r="E220" s="4">
        <v>0.16</v>
      </c>
      <c r="H220" s="4">
        <f t="shared" si="15"/>
        <v>0.16</v>
      </c>
      <c r="I220" s="4">
        <f>ROUND(E220+0.33*ABS(E220),2)</f>
        <v>0.21</v>
      </c>
    </row>
    <row r="221" spans="1:9" x14ac:dyDescent="0.35">
      <c r="B221" s="4" t="s">
        <v>18</v>
      </c>
      <c r="C221" s="4" t="s">
        <v>133</v>
      </c>
      <c r="D221" s="4">
        <v>1</v>
      </c>
      <c r="E221" s="4">
        <v>1</v>
      </c>
      <c r="H221" s="4">
        <f t="shared" si="15"/>
        <v>1</v>
      </c>
      <c r="I221" s="4">
        <f>ROUND(E221+0.33*ABS(E221),2)</f>
        <v>1.33</v>
      </c>
    </row>
    <row r="222" spans="1:9" x14ac:dyDescent="0.35">
      <c r="B222" s="4" t="s">
        <v>18</v>
      </c>
      <c r="C222" s="4" t="s">
        <v>134</v>
      </c>
      <c r="D222" s="4">
        <v>0.06</v>
      </c>
      <c r="E222" s="4">
        <v>0.1</v>
      </c>
      <c r="H222" s="4">
        <f t="shared" si="15"/>
        <v>0.1</v>
      </c>
      <c r="I222" s="4">
        <f>ROUND(E222+0.33*ABS(E222),2)</f>
        <v>0.13</v>
      </c>
    </row>
    <row r="224" spans="1:9" x14ac:dyDescent="0.35">
      <c r="A224" s="2" t="s">
        <v>135</v>
      </c>
      <c r="G224" s="3" t="s">
        <v>136</v>
      </c>
    </row>
    <row r="225" spans="1:9" x14ac:dyDescent="0.35">
      <c r="B225" s="4" t="s">
        <v>11</v>
      </c>
      <c r="C225" s="4" t="s">
        <v>12</v>
      </c>
      <c r="D225" s="4">
        <v>12339</v>
      </c>
      <c r="E225" s="4">
        <v>14538</v>
      </c>
      <c r="H225" s="4">
        <f>E225</f>
        <v>14538</v>
      </c>
      <c r="I225" s="4">
        <f>ROUND(E225+0.33*ABS(E225),0)</f>
        <v>19336</v>
      </c>
    </row>
    <row r="226" spans="1:9" x14ac:dyDescent="0.35">
      <c r="B226" s="4" t="s">
        <v>13</v>
      </c>
      <c r="C226" s="4" t="s">
        <v>41</v>
      </c>
      <c r="D226" s="5" t="s">
        <v>137</v>
      </c>
      <c r="H226" s="5" t="str">
        <f>D226</f>
        <v>{"levelChange": 2, "abilityKey": "all_abilities"}</v>
      </c>
    </row>
    <row r="227" spans="1:9" x14ac:dyDescent="0.35">
      <c r="B227" s="4" t="s">
        <v>13</v>
      </c>
      <c r="C227" s="4" t="s">
        <v>17</v>
      </c>
      <c r="D227" s="4">
        <v>45</v>
      </c>
      <c r="E227" s="4">
        <v>50</v>
      </c>
      <c r="H227" s="4">
        <f>E227</f>
        <v>50</v>
      </c>
      <c r="I227" s="4">
        <f>ROUND(E227+0.33*ABS(E227),2)</f>
        <v>66.5</v>
      </c>
    </row>
    <row r="228" spans="1:9" x14ac:dyDescent="0.35">
      <c r="B228" s="4" t="s">
        <v>16</v>
      </c>
      <c r="C228" s="4" t="s">
        <v>17</v>
      </c>
      <c r="D228" s="4">
        <v>45</v>
      </c>
      <c r="E228" s="4">
        <v>50</v>
      </c>
      <c r="H228" s="4">
        <f>E228</f>
        <v>50</v>
      </c>
      <c r="I228" s="4">
        <f>ROUND(E228+0.33*ABS(E228),2)</f>
        <v>66.5</v>
      </c>
    </row>
    <row r="229" spans="1:9" x14ac:dyDescent="0.35">
      <c r="B229" s="4" t="s">
        <v>18</v>
      </c>
      <c r="C229" s="4" t="s">
        <v>118</v>
      </c>
      <c r="D229" s="4">
        <v>0.81</v>
      </c>
      <c r="E229" s="4">
        <v>1</v>
      </c>
      <c r="H229" s="4">
        <f>E229</f>
        <v>1</v>
      </c>
      <c r="I229" s="4">
        <f>ROUND(E229+0.33*ABS(E229),2)</f>
        <v>1.33</v>
      </c>
    </row>
    <row r="230" spans="1:9" x14ac:dyDescent="0.35">
      <c r="B230" s="4" t="s">
        <v>18</v>
      </c>
      <c r="C230" s="4" t="s">
        <v>43</v>
      </c>
      <c r="D230" s="4">
        <v>0.17</v>
      </c>
      <c r="E230" s="4">
        <v>0.2</v>
      </c>
      <c r="H230" s="4">
        <f>E230</f>
        <v>0.2</v>
      </c>
      <c r="I230" s="4">
        <f>ROUND(E230+0.33*ABS(E230),2)</f>
        <v>0.27</v>
      </c>
    </row>
    <row r="232" spans="1:9" x14ac:dyDescent="0.35">
      <c r="A232" s="2" t="s">
        <v>138</v>
      </c>
      <c r="G232" s="3" t="s">
        <v>139</v>
      </c>
    </row>
    <row r="233" spans="1:9" x14ac:dyDescent="0.35">
      <c r="B233" s="4" t="s">
        <v>11</v>
      </c>
      <c r="C233" s="4" t="s">
        <v>12</v>
      </c>
      <c r="D233" s="4">
        <v>12339</v>
      </c>
      <c r="E233" s="4">
        <v>14538</v>
      </c>
      <c r="H233" s="4">
        <f>E233</f>
        <v>14538</v>
      </c>
      <c r="I233" s="4">
        <f>ROUND(E233+0.33*ABS(E233),0)</f>
        <v>19336</v>
      </c>
    </row>
    <row r="234" spans="1:9" x14ac:dyDescent="0.35">
      <c r="B234" s="4" t="s">
        <v>13</v>
      </c>
      <c r="C234" s="4" t="s">
        <v>110</v>
      </c>
      <c r="D234" s="4">
        <v>28</v>
      </c>
      <c r="E234" s="4">
        <v>30</v>
      </c>
      <c r="H234" s="4">
        <f>E234</f>
        <v>30</v>
      </c>
      <c r="I234" s="4">
        <f>ROUND(E234+0.33*ABS(E234),0)</f>
        <v>40</v>
      </c>
    </row>
    <row r="235" spans="1:9" x14ac:dyDescent="0.35">
      <c r="B235" s="4" t="s">
        <v>13</v>
      </c>
      <c r="C235" s="4" t="s">
        <v>126</v>
      </c>
      <c r="D235" s="4">
        <v>0.16</v>
      </c>
      <c r="E235" s="4">
        <v>0.3</v>
      </c>
      <c r="H235" s="4">
        <f>E235</f>
        <v>0.3</v>
      </c>
      <c r="I235" s="4">
        <f>ROUND(E235+0.33*ABS(E235),2)</f>
        <v>0.4</v>
      </c>
    </row>
    <row r="236" spans="1:9" x14ac:dyDescent="0.35">
      <c r="B236" s="4" t="s">
        <v>16</v>
      </c>
      <c r="C236" s="4" t="s">
        <v>41</v>
      </c>
      <c r="D236" s="5" t="s">
        <v>140</v>
      </c>
      <c r="H236" s="5" t="str">
        <f>D236</f>
        <v>{"abilityKey": "Nova_Slow", "levelChange": 2}</v>
      </c>
    </row>
    <row r="237" spans="1:9" x14ac:dyDescent="0.35">
      <c r="B237" s="4" t="s">
        <v>18</v>
      </c>
      <c r="C237" s="4" t="s">
        <v>141</v>
      </c>
      <c r="D237" s="5" t="s">
        <v>142</v>
      </c>
      <c r="H237" s="5" t="str">
        <f>D237</f>
        <v>{"abilityId": "Nova_Slow", "chance": {"min": 0.05, "max": 0.2, "step": 0.01}, "level": {"min": 2, "max": 7, "step": 1}}</v>
      </c>
    </row>
    <row r="239" spans="1:9" x14ac:dyDescent="0.35">
      <c r="A239" s="2" t="s">
        <v>143</v>
      </c>
      <c r="G239" s="3" t="s">
        <v>144</v>
      </c>
    </row>
    <row r="240" spans="1:9" x14ac:dyDescent="0.35">
      <c r="B240" s="4" t="s">
        <v>11</v>
      </c>
      <c r="C240" s="4" t="s">
        <v>12</v>
      </c>
      <c r="D240" s="4">
        <v>12339</v>
      </c>
      <c r="E240" s="4">
        <v>14538</v>
      </c>
      <c r="H240" s="4">
        <f>E240</f>
        <v>14538</v>
      </c>
      <c r="I240" s="4">
        <f>ROUND(E240+0.33*ABS(E240),0)</f>
        <v>19336</v>
      </c>
    </row>
    <row r="241" spans="1:9" x14ac:dyDescent="0.35">
      <c r="B241" s="4" t="s">
        <v>13</v>
      </c>
      <c r="C241" s="4" t="s">
        <v>127</v>
      </c>
      <c r="D241" s="4">
        <v>12</v>
      </c>
      <c r="E241" s="4">
        <v>12</v>
      </c>
      <c r="H241" s="4">
        <f>E241</f>
        <v>12</v>
      </c>
      <c r="I241" s="4">
        <f>ROUND(E241+0.33*ABS(E241),0)</f>
        <v>16</v>
      </c>
    </row>
    <row r="242" spans="1:9" x14ac:dyDescent="0.35">
      <c r="B242" s="4" t="s">
        <v>16</v>
      </c>
      <c r="C242" s="4" t="s">
        <v>127</v>
      </c>
      <c r="D242" s="4">
        <v>12</v>
      </c>
      <c r="E242" s="4">
        <v>12</v>
      </c>
      <c r="H242" s="4">
        <f>E242</f>
        <v>12</v>
      </c>
      <c r="I242" s="4">
        <f>ROUND(E242+0.33*ABS(E242),0)</f>
        <v>16</v>
      </c>
    </row>
    <row r="243" spans="1:9" x14ac:dyDescent="0.35">
      <c r="B243" s="4" t="s">
        <v>16</v>
      </c>
      <c r="C243" s="4" t="s">
        <v>127</v>
      </c>
      <c r="D243" s="4">
        <v>12</v>
      </c>
      <c r="E243" s="4">
        <v>12</v>
      </c>
      <c r="H243" s="4">
        <f>E243</f>
        <v>12</v>
      </c>
      <c r="I243" s="4">
        <f>ROUND(E243+0.33*ABS(E243),0)</f>
        <v>16</v>
      </c>
    </row>
    <row r="245" spans="1:9" x14ac:dyDescent="0.35">
      <c r="A245" s="2" t="s">
        <v>145</v>
      </c>
      <c r="G245" s="3" t="s">
        <v>146</v>
      </c>
    </row>
    <row r="246" spans="1:9" x14ac:dyDescent="0.35">
      <c r="B246" s="4" t="s">
        <v>11</v>
      </c>
      <c r="C246" s="4" t="s">
        <v>12</v>
      </c>
      <c r="D246" s="4">
        <v>12339</v>
      </c>
      <c r="E246" s="4">
        <v>14538</v>
      </c>
      <c r="H246" s="4">
        <f>E246</f>
        <v>14538</v>
      </c>
      <c r="I246" s="4">
        <f>ROUND(E246+0.33*ABS(E246),0)</f>
        <v>19336</v>
      </c>
    </row>
    <row r="247" spans="1:9" x14ac:dyDescent="0.35">
      <c r="B247" s="4" t="s">
        <v>13</v>
      </c>
      <c r="C247" s="4" t="s">
        <v>147</v>
      </c>
      <c r="D247" s="5" t="s">
        <v>70</v>
      </c>
      <c r="H247" s="6"/>
    </row>
    <row r="248" spans="1:9" x14ac:dyDescent="0.35">
      <c r="B248" s="4" t="s">
        <v>13</v>
      </c>
      <c r="C248" s="4" t="s">
        <v>110</v>
      </c>
      <c r="D248" s="4">
        <v>28</v>
      </c>
      <c r="E248" s="4">
        <v>30</v>
      </c>
      <c r="H248" s="4">
        <f>E248</f>
        <v>30</v>
      </c>
      <c r="I248" s="4">
        <f>ROUND(E248+0.33*ABS(E248),0)</f>
        <v>40</v>
      </c>
    </row>
    <row r="249" spans="1:9" x14ac:dyDescent="0.35">
      <c r="B249" s="4" t="s">
        <v>16</v>
      </c>
      <c r="C249" s="4" t="s">
        <v>127</v>
      </c>
      <c r="D249" s="4">
        <v>12</v>
      </c>
      <c r="E249" s="4">
        <v>12</v>
      </c>
      <c r="H249" s="4">
        <f>E249</f>
        <v>12</v>
      </c>
      <c r="I249" s="4">
        <f>ROUND(E249+0.33*ABS(E249),0)</f>
        <v>16</v>
      </c>
    </row>
    <row r="250" spans="1:9" x14ac:dyDescent="0.35">
      <c r="B250" s="4" t="s">
        <v>16</v>
      </c>
      <c r="C250" s="4" t="s">
        <v>110</v>
      </c>
      <c r="D250" s="4">
        <v>8</v>
      </c>
      <c r="E250" s="4">
        <v>10</v>
      </c>
      <c r="H250" s="4">
        <f>E250</f>
        <v>10</v>
      </c>
      <c r="I250" s="4">
        <f>ROUND(E250+0.33*ABS(E250),0)</f>
        <v>13</v>
      </c>
    </row>
    <row r="251" spans="1:9" x14ac:dyDescent="0.35">
      <c r="B251" s="4" t="s">
        <v>16</v>
      </c>
      <c r="C251" s="4" t="s">
        <v>132</v>
      </c>
      <c r="D251" s="4">
        <v>0.13</v>
      </c>
      <c r="E251" s="4">
        <v>0.16</v>
      </c>
      <c r="H251" s="4">
        <f>E251</f>
        <v>0.16</v>
      </c>
      <c r="I251" s="4">
        <f>ROUND(E251+0.33*ABS(E251),2)</f>
        <v>0.21</v>
      </c>
    </row>
    <row r="252" spans="1:9" x14ac:dyDescent="0.35">
      <c r="B252" s="4" t="s">
        <v>18</v>
      </c>
      <c r="C252" s="4" t="s">
        <v>118</v>
      </c>
      <c r="D252" s="4">
        <v>0.81</v>
      </c>
      <c r="E252" s="4">
        <v>1</v>
      </c>
      <c r="H252" s="4">
        <f>E252</f>
        <v>1</v>
      </c>
      <c r="I252" s="4">
        <f>ROUND(E252+0.33*ABS(E252),2)</f>
        <v>1.33</v>
      </c>
    </row>
    <row r="253" spans="1:9" x14ac:dyDescent="0.35">
      <c r="B253" s="4" t="s">
        <v>18</v>
      </c>
      <c r="C253" s="4" t="s">
        <v>41</v>
      </c>
      <c r="D253" s="5" t="s">
        <v>148</v>
      </c>
      <c r="H253" s="5" t="str">
        <f>D253</f>
        <v>{"abilityKey": "Heal_Base", "levelChange": 2}</v>
      </c>
    </row>
    <row r="254" spans="1:9" x14ac:dyDescent="0.35">
      <c r="B254" s="4" t="s">
        <v>18</v>
      </c>
      <c r="C254" s="4" t="s">
        <v>149</v>
      </c>
      <c r="D254" s="5" t="s">
        <v>150</v>
      </c>
      <c r="H254" s="5" t="str">
        <f>D254</f>
        <v>{"chance": {"min": 0.2, "max": 0.5, "step": 0.05}, "amount": {"min": 2.0, "max": 2.0, "step": 0.0}}</v>
      </c>
    </row>
    <row r="256" spans="1:9" x14ac:dyDescent="0.35">
      <c r="A256" s="2" t="s">
        <v>151</v>
      </c>
      <c r="G256" s="3" t="s">
        <v>152</v>
      </c>
    </row>
    <row r="257" spans="1:9" x14ac:dyDescent="0.35">
      <c r="B257" s="4" t="s">
        <v>11</v>
      </c>
      <c r="C257" s="4" t="s">
        <v>12</v>
      </c>
      <c r="D257" s="4">
        <v>12339</v>
      </c>
      <c r="E257" s="4">
        <v>14538</v>
      </c>
      <c r="H257" s="4">
        <f t="shared" ref="H257:H262" si="16">E257</f>
        <v>14538</v>
      </c>
      <c r="I257" s="4">
        <f>ROUND(E257+0.33*ABS(E257),0)</f>
        <v>19336</v>
      </c>
    </row>
    <row r="258" spans="1:9" x14ac:dyDescent="0.35">
      <c r="B258" s="4" t="s">
        <v>13</v>
      </c>
      <c r="C258" s="4" t="s">
        <v>110</v>
      </c>
      <c r="D258" s="4">
        <v>28</v>
      </c>
      <c r="E258" s="4">
        <v>30</v>
      </c>
      <c r="H258" s="4">
        <f t="shared" si="16"/>
        <v>30</v>
      </c>
      <c r="I258" s="4">
        <f>ROUND(E258+0.33*ABS(E258),0)</f>
        <v>40</v>
      </c>
    </row>
    <row r="259" spans="1:9" x14ac:dyDescent="0.35">
      <c r="B259" s="4" t="s">
        <v>13</v>
      </c>
      <c r="C259" s="4" t="s">
        <v>153</v>
      </c>
      <c r="D259" s="4">
        <v>51</v>
      </c>
      <c r="E259" s="4">
        <v>60</v>
      </c>
      <c r="H259" s="4">
        <f t="shared" si="16"/>
        <v>60</v>
      </c>
      <c r="I259" s="4">
        <f>ROUND(E259+0.33*ABS(E259),0)</f>
        <v>80</v>
      </c>
    </row>
    <row r="260" spans="1:9" x14ac:dyDescent="0.35">
      <c r="B260" s="4" t="s">
        <v>16</v>
      </c>
      <c r="C260" s="4" t="s">
        <v>110</v>
      </c>
      <c r="D260" s="4">
        <v>8</v>
      </c>
      <c r="E260" s="4">
        <v>10</v>
      </c>
      <c r="H260" s="4">
        <f t="shared" si="16"/>
        <v>10</v>
      </c>
      <c r="I260" s="4">
        <f>ROUND(E260+0.33*ABS(E260),0)</f>
        <v>13</v>
      </c>
    </row>
    <row r="261" spans="1:9" x14ac:dyDescent="0.35">
      <c r="B261" s="4" t="s">
        <v>16</v>
      </c>
      <c r="C261" s="4" t="s">
        <v>132</v>
      </c>
      <c r="D261" s="4">
        <v>0.13</v>
      </c>
      <c r="E261" s="4">
        <v>0.16</v>
      </c>
      <c r="H261" s="4">
        <f t="shared" si="16"/>
        <v>0.16</v>
      </c>
      <c r="I261" s="4">
        <f>ROUND(E261+0.33*ABS(E261),2)</f>
        <v>0.21</v>
      </c>
    </row>
    <row r="262" spans="1:9" x14ac:dyDescent="0.35">
      <c r="B262" s="4" t="s">
        <v>16</v>
      </c>
      <c r="C262" s="4" t="s">
        <v>133</v>
      </c>
      <c r="D262" s="4">
        <v>0.5</v>
      </c>
      <c r="E262" s="4">
        <v>1</v>
      </c>
      <c r="H262" s="4">
        <f t="shared" si="16"/>
        <v>1</v>
      </c>
      <c r="I262" s="4">
        <f>ROUND(E262+0.33*ABS(E262),2)</f>
        <v>1.33</v>
      </c>
    </row>
    <row r="263" spans="1:9" x14ac:dyDescent="0.35">
      <c r="B263" s="4" t="s">
        <v>18</v>
      </c>
      <c r="C263" s="4" t="s">
        <v>154</v>
      </c>
      <c r="D263" s="5" t="s">
        <v>37</v>
      </c>
      <c r="H263" s="5" t="str">
        <f>D263</f>
        <v>{"flag": true}</v>
      </c>
    </row>
    <row r="264" spans="1:9" x14ac:dyDescent="0.35">
      <c r="B264" s="4" t="s">
        <v>18</v>
      </c>
      <c r="C264" s="4" t="s">
        <v>111</v>
      </c>
      <c r="D264" s="4">
        <v>0.2</v>
      </c>
      <c r="E264" s="4">
        <v>0.3</v>
      </c>
      <c r="H264" s="4">
        <f>E264</f>
        <v>0.3</v>
      </c>
      <c r="I264" s="4">
        <f>ROUND(E264+0.33*ABS(E264),2)</f>
        <v>0.4</v>
      </c>
    </row>
    <row r="266" spans="1:9" x14ac:dyDescent="0.35">
      <c r="A266" s="2" t="s">
        <v>155</v>
      </c>
      <c r="G266" s="3" t="s">
        <v>156</v>
      </c>
    </row>
    <row r="267" spans="1:9" x14ac:dyDescent="0.35">
      <c r="B267" s="4" t="s">
        <v>11</v>
      </c>
      <c r="C267" s="4" t="s">
        <v>12</v>
      </c>
      <c r="D267" s="4">
        <v>12339</v>
      </c>
      <c r="E267" s="4">
        <v>14538</v>
      </c>
      <c r="H267" s="4">
        <f>E267</f>
        <v>14538</v>
      </c>
      <c r="I267" s="4">
        <f>ROUND(E267+0.33*ABS(E267),0)</f>
        <v>19336</v>
      </c>
    </row>
    <row r="268" spans="1:9" x14ac:dyDescent="0.35">
      <c r="B268" s="4" t="s">
        <v>13</v>
      </c>
      <c r="C268" s="4" t="s">
        <v>110</v>
      </c>
      <c r="D268" s="4">
        <v>28</v>
      </c>
      <c r="E268" s="4">
        <v>30</v>
      </c>
      <c r="H268" s="4">
        <f>E268</f>
        <v>30</v>
      </c>
      <c r="I268" s="4">
        <f>ROUND(E268+0.33*ABS(E268),0)</f>
        <v>40</v>
      </c>
    </row>
    <row r="269" spans="1:9" x14ac:dyDescent="0.35">
      <c r="B269" s="4" t="s">
        <v>16</v>
      </c>
      <c r="C269" s="4" t="s">
        <v>82</v>
      </c>
      <c r="D269" s="4">
        <v>0.21</v>
      </c>
      <c r="E269" s="4">
        <v>0.3</v>
      </c>
      <c r="H269" s="4">
        <f>E269</f>
        <v>0.3</v>
      </c>
      <c r="I269" s="4">
        <f>ROUND(E269+0.33*ABS(E269),2)</f>
        <v>0.4</v>
      </c>
    </row>
    <row r="270" spans="1:9" x14ac:dyDescent="0.35">
      <c r="B270" s="4" t="s">
        <v>16</v>
      </c>
      <c r="C270" s="4" t="s">
        <v>133</v>
      </c>
      <c r="D270" s="4">
        <v>0.5</v>
      </c>
      <c r="E270" s="4">
        <v>1</v>
      </c>
      <c r="H270" s="4">
        <f>E270</f>
        <v>1</v>
      </c>
      <c r="I270" s="4">
        <f>ROUND(E270+0.33*ABS(E270),2)</f>
        <v>1.33</v>
      </c>
    </row>
    <row r="271" spans="1:9" x14ac:dyDescent="0.35">
      <c r="B271" s="4" t="s">
        <v>18</v>
      </c>
      <c r="C271" s="4" t="s">
        <v>157</v>
      </c>
      <c r="D271" s="5" t="s">
        <v>158</v>
      </c>
      <c r="H271" s="5" t="str">
        <f>D271</f>
        <v>{"effectKeys": ["minecraft:poison", "minecraft:wither", "minecraft:levitation", "minecraft:slowness", "minecraft:blindness", "minecraft:hunger", "the_vault:bleed"], "name": "the_vault.gear_attribute.effect_avoidance.avoidance.bad_effects", "minChance": 0.71, "maxChance": 1.0, "step": 0.01}</v>
      </c>
    </row>
    <row r="272" spans="1:9" x14ac:dyDescent="0.35">
      <c r="B272" s="4" t="s">
        <v>18</v>
      </c>
      <c r="C272" s="4" t="s">
        <v>118</v>
      </c>
      <c r="D272" s="4">
        <v>0.81</v>
      </c>
      <c r="E272" s="4">
        <v>1</v>
      </c>
      <c r="H272" s="4">
        <f>E272</f>
        <v>1</v>
      </c>
      <c r="I272" s="4">
        <f>ROUND(E272+0.33*ABS(E272),2)</f>
        <v>1.33</v>
      </c>
    </row>
    <row r="274" spans="1:9" x14ac:dyDescent="0.35">
      <c r="A274" s="2" t="s">
        <v>159</v>
      </c>
      <c r="G274" s="3" t="s">
        <v>160</v>
      </c>
    </row>
    <row r="275" spans="1:9" x14ac:dyDescent="0.35">
      <c r="B275" s="4" t="s">
        <v>11</v>
      </c>
      <c r="C275" s="4" t="s">
        <v>12</v>
      </c>
      <c r="D275" s="4">
        <v>12339</v>
      </c>
      <c r="E275" s="4">
        <v>14538</v>
      </c>
      <c r="H275" s="4">
        <f>E275</f>
        <v>14538</v>
      </c>
      <c r="I275" s="4">
        <f>ROUND(E275+0.33*ABS(E275),0)</f>
        <v>19336</v>
      </c>
    </row>
    <row r="276" spans="1:9" x14ac:dyDescent="0.35">
      <c r="B276" s="4" t="s">
        <v>13</v>
      </c>
      <c r="C276" s="4" t="s">
        <v>110</v>
      </c>
      <c r="D276" s="4">
        <v>28</v>
      </c>
      <c r="E276" s="4">
        <v>30</v>
      </c>
      <c r="H276" s="4">
        <f>E276</f>
        <v>30</v>
      </c>
      <c r="I276" s="4">
        <f>ROUND(E276+0.33*ABS(E276),0)</f>
        <v>40</v>
      </c>
    </row>
    <row r="277" spans="1:9" x14ac:dyDescent="0.35">
      <c r="B277" s="4" t="s">
        <v>13</v>
      </c>
      <c r="C277" s="4" t="s">
        <v>161</v>
      </c>
      <c r="D277" s="5" t="s">
        <v>70</v>
      </c>
      <c r="H277" s="6"/>
    </row>
    <row r="278" spans="1:9" x14ac:dyDescent="0.35">
      <c r="B278" s="4" t="s">
        <v>16</v>
      </c>
      <c r="C278" s="4" t="s">
        <v>41</v>
      </c>
      <c r="D278" s="5" t="s">
        <v>162</v>
      </c>
      <c r="H278" s="5" t="str">
        <f>D278</f>
        <v>{"abilityKey": "Stonefall_Cold", "levelChange": 1}</v>
      </c>
    </row>
    <row r="279" spans="1:9" x14ac:dyDescent="0.35">
      <c r="B279" s="4" t="s">
        <v>16</v>
      </c>
      <c r="C279" s="4" t="s">
        <v>110</v>
      </c>
      <c r="D279" s="4">
        <v>8</v>
      </c>
      <c r="E279" s="4">
        <v>10</v>
      </c>
      <c r="H279" s="4">
        <f>E279</f>
        <v>10</v>
      </c>
      <c r="I279" s="4">
        <f>ROUND(E279+0.33*ABS(E279),0)</f>
        <v>13</v>
      </c>
    </row>
    <row r="280" spans="1:9" x14ac:dyDescent="0.35">
      <c r="B280" s="4" t="s">
        <v>18</v>
      </c>
      <c r="C280" s="4" t="s">
        <v>163</v>
      </c>
      <c r="D280" s="5" t="s">
        <v>164</v>
      </c>
      <c r="H280" s="5" t="str">
        <f>D280</f>
        <v>{"effectId": "the_vault:chilled", "durationTicks": {"min": 60, "max": 160, "step": 20}}</v>
      </c>
    </row>
    <row r="282" spans="1:9" x14ac:dyDescent="0.35">
      <c r="A282" s="2" t="s">
        <v>165</v>
      </c>
      <c r="G282" s="3" t="s">
        <v>166</v>
      </c>
    </row>
    <row r="283" spans="1:9" x14ac:dyDescent="0.35">
      <c r="B283" s="4" t="s">
        <v>11</v>
      </c>
      <c r="C283" s="4" t="s">
        <v>12</v>
      </c>
      <c r="D283" s="4">
        <v>12339</v>
      </c>
      <c r="E283" s="4">
        <v>14538</v>
      </c>
      <c r="H283" s="4">
        <f>E283</f>
        <v>14538</v>
      </c>
      <c r="I283" s="4">
        <f>ROUND(E283+0.33*ABS(E283),0)</f>
        <v>19336</v>
      </c>
    </row>
    <row r="284" spans="1:9" x14ac:dyDescent="0.35">
      <c r="B284" s="4" t="s">
        <v>13</v>
      </c>
      <c r="C284" s="4" t="s">
        <v>82</v>
      </c>
      <c r="D284" s="4">
        <v>0.31</v>
      </c>
      <c r="E284" s="4">
        <v>0.35</v>
      </c>
      <c r="H284" s="4">
        <f>E284</f>
        <v>0.35</v>
      </c>
      <c r="I284" s="4">
        <f>ROUND(E284+0.33*ABS(E284),2)</f>
        <v>0.47</v>
      </c>
    </row>
    <row r="285" spans="1:9" x14ac:dyDescent="0.35">
      <c r="B285" s="4" t="s">
        <v>16</v>
      </c>
      <c r="C285" s="4" t="s">
        <v>133</v>
      </c>
      <c r="D285" s="4">
        <v>0.5</v>
      </c>
      <c r="E285" s="4">
        <v>1</v>
      </c>
      <c r="H285" s="4">
        <f>E285</f>
        <v>1</v>
      </c>
      <c r="I285" s="4">
        <f>ROUND(E285+0.33*ABS(E285),2)</f>
        <v>1.33</v>
      </c>
    </row>
    <row r="286" spans="1:9" x14ac:dyDescent="0.35">
      <c r="B286" s="4" t="s">
        <v>18</v>
      </c>
      <c r="C286" s="4" t="s">
        <v>41</v>
      </c>
      <c r="D286" s="5" t="s">
        <v>167</v>
      </c>
      <c r="H286" s="5" t="str">
        <f>D286</f>
        <v>{"abilityKey": "Empower_Slowness_Aura", "levelChange": 1}</v>
      </c>
    </row>
    <row r="288" spans="1:9" x14ac:dyDescent="0.35">
      <c r="A288" s="2" t="s">
        <v>168</v>
      </c>
      <c r="G288" s="3" t="s">
        <v>169</v>
      </c>
    </row>
    <row r="289" spans="1:9" x14ac:dyDescent="0.35">
      <c r="B289" s="4" t="s">
        <v>11</v>
      </c>
      <c r="C289" s="4" t="s">
        <v>12</v>
      </c>
      <c r="D289" s="4">
        <v>12339</v>
      </c>
      <c r="E289" s="4">
        <v>14538</v>
      </c>
      <c r="H289" s="4">
        <f>E289</f>
        <v>14538</v>
      </c>
      <c r="I289" s="4">
        <f>ROUND(E289+0.33*ABS(E289),0)</f>
        <v>19336</v>
      </c>
    </row>
    <row r="290" spans="1:9" x14ac:dyDescent="0.35">
      <c r="B290" s="4" t="s">
        <v>13</v>
      </c>
      <c r="C290" s="4" t="s">
        <v>110</v>
      </c>
      <c r="D290" s="4">
        <v>28</v>
      </c>
      <c r="E290" s="4">
        <v>30</v>
      </c>
      <c r="H290" s="4">
        <f>E290</f>
        <v>30</v>
      </c>
      <c r="I290" s="4">
        <f>ROUND(E290+0.33*ABS(E290),0)</f>
        <v>40</v>
      </c>
    </row>
    <row r="291" spans="1:9" x14ac:dyDescent="0.35">
      <c r="B291" s="4" t="s">
        <v>13</v>
      </c>
      <c r="C291" s="4" t="s">
        <v>161</v>
      </c>
      <c r="D291" s="5" t="s">
        <v>70</v>
      </c>
      <c r="H291" s="6"/>
    </row>
    <row r="292" spans="1:9" x14ac:dyDescent="0.35">
      <c r="B292" s="4" t="s">
        <v>16</v>
      </c>
      <c r="C292" s="4" t="s">
        <v>110</v>
      </c>
      <c r="D292" s="4">
        <v>8</v>
      </c>
      <c r="E292" s="4">
        <v>10</v>
      </c>
      <c r="H292" s="4">
        <f>E292</f>
        <v>10</v>
      </c>
      <c r="I292" s="4">
        <f>ROUND(E292+0.33*ABS(E292),0)</f>
        <v>13</v>
      </c>
    </row>
    <row r="293" spans="1:9" x14ac:dyDescent="0.35">
      <c r="B293" s="4" t="s">
        <v>16</v>
      </c>
      <c r="C293" s="4" t="s">
        <v>41</v>
      </c>
      <c r="D293" s="5" t="s">
        <v>170</v>
      </c>
      <c r="H293" s="5" t="str">
        <f>D293</f>
        <v>{"abilityKey": "Nova_Dot", "levelChange": 4}</v>
      </c>
    </row>
    <row r="294" spans="1:9" x14ac:dyDescent="0.35">
      <c r="B294" s="4" t="s">
        <v>18</v>
      </c>
      <c r="C294" s="4" t="s">
        <v>163</v>
      </c>
      <c r="D294" s="5" t="s">
        <v>171</v>
      </c>
      <c r="H294" s="5" t="str">
        <f>D294</f>
        <v>{"durationTicks": {"step": 20, "min": 240, "max": 300}, "effectId": "minecraft:poison"}</v>
      </c>
    </row>
    <row r="296" spans="1:9" x14ac:dyDescent="0.35">
      <c r="A296" s="2" t="s">
        <v>172</v>
      </c>
      <c r="G296" s="3" t="s">
        <v>173</v>
      </c>
    </row>
    <row r="297" spans="1:9" x14ac:dyDescent="0.35">
      <c r="B297" s="4" t="s">
        <v>11</v>
      </c>
      <c r="C297" s="4" t="s">
        <v>12</v>
      </c>
      <c r="D297" s="4">
        <v>12339</v>
      </c>
      <c r="E297" s="4">
        <v>14538</v>
      </c>
      <c r="H297" s="4">
        <f>E297</f>
        <v>14538</v>
      </c>
      <c r="I297" s="4">
        <f>ROUND(E297+0.33*ABS(E297),0)</f>
        <v>19336</v>
      </c>
    </row>
    <row r="298" spans="1:9" x14ac:dyDescent="0.35">
      <c r="B298" s="4" t="s">
        <v>13</v>
      </c>
      <c r="C298" s="4" t="s">
        <v>174</v>
      </c>
      <c r="D298" s="4">
        <v>0.26</v>
      </c>
      <c r="E298" s="4">
        <v>0.4</v>
      </c>
      <c r="H298" s="4">
        <f>E298</f>
        <v>0.4</v>
      </c>
      <c r="I298" s="4">
        <f>ROUND(E298+0.33*ABS(E298),2)</f>
        <v>0.53</v>
      </c>
    </row>
    <row r="299" spans="1:9" x14ac:dyDescent="0.35">
      <c r="B299" s="4" t="s">
        <v>16</v>
      </c>
      <c r="C299" s="4" t="s">
        <v>20</v>
      </c>
      <c r="D299" s="4">
        <v>0.21</v>
      </c>
      <c r="E299" s="4">
        <v>0.25</v>
      </c>
      <c r="H299" s="4">
        <f>E299</f>
        <v>0.25</v>
      </c>
      <c r="I299" s="4">
        <f>ROUND(E299+0.33*ABS(E299),2)</f>
        <v>0.33</v>
      </c>
    </row>
    <row r="300" spans="1:9" x14ac:dyDescent="0.35">
      <c r="B300" s="4" t="s">
        <v>18</v>
      </c>
      <c r="C300" s="4" t="s">
        <v>175</v>
      </c>
      <c r="D300" s="4">
        <v>0.4</v>
      </c>
      <c r="E300" s="4">
        <v>1.2</v>
      </c>
      <c r="H300" s="4">
        <f>E300</f>
        <v>1.2</v>
      </c>
      <c r="I300" s="4">
        <f>ROUND(E300+0.33*ABS(E300),2)</f>
        <v>1.6</v>
      </c>
    </row>
    <row r="302" spans="1:9" x14ac:dyDescent="0.35">
      <c r="A302" s="2" t="s">
        <v>176</v>
      </c>
      <c r="G302" s="3" t="s">
        <v>177</v>
      </c>
    </row>
    <row r="303" spans="1:9" x14ac:dyDescent="0.35">
      <c r="B303" s="4" t="s">
        <v>11</v>
      </c>
      <c r="C303" s="4" t="s">
        <v>12</v>
      </c>
      <c r="D303" s="4">
        <v>12339</v>
      </c>
      <c r="E303" s="4">
        <v>14538</v>
      </c>
      <c r="H303" s="4">
        <f>E303</f>
        <v>14538</v>
      </c>
      <c r="I303" s="4">
        <f>ROUND(E303+0.33*ABS(E303),0)</f>
        <v>19336</v>
      </c>
    </row>
    <row r="304" spans="1:9" x14ac:dyDescent="0.35">
      <c r="B304" s="4" t="s">
        <v>16</v>
      </c>
      <c r="C304" s="4" t="s">
        <v>41</v>
      </c>
      <c r="D304" s="5" t="s">
        <v>178</v>
      </c>
      <c r="H304" s="5" t="str">
        <f>D304</f>
        <v>{"abilityKey": "Taunt_Repel", "levelChange": 8}</v>
      </c>
    </row>
    <row r="305" spans="1:9" x14ac:dyDescent="0.35">
      <c r="B305" s="4" t="s">
        <v>18</v>
      </c>
      <c r="C305" s="4" t="s">
        <v>116</v>
      </c>
      <c r="D305" s="4">
        <v>0.61</v>
      </c>
      <c r="E305" s="4">
        <v>1</v>
      </c>
      <c r="H305" s="4">
        <f>E305</f>
        <v>1</v>
      </c>
      <c r="I305" s="4">
        <f>ROUND(E305+0.33*ABS(E305),2)</f>
        <v>1.33</v>
      </c>
    </row>
    <row r="307" spans="1:9" x14ac:dyDescent="0.35">
      <c r="A307" s="2" t="s">
        <v>179</v>
      </c>
      <c r="G307" s="3" t="s">
        <v>180</v>
      </c>
    </row>
    <row r="308" spans="1:9" x14ac:dyDescent="0.35">
      <c r="B308" s="4" t="s">
        <v>11</v>
      </c>
      <c r="C308" s="4" t="s">
        <v>12</v>
      </c>
      <c r="D308" s="4">
        <v>12339</v>
      </c>
      <c r="E308" s="4">
        <v>14538</v>
      </c>
      <c r="H308" s="4">
        <f>E308</f>
        <v>14538</v>
      </c>
      <c r="I308" s="4">
        <f>ROUND(E308+0.33*ABS(E308),0)</f>
        <v>19336</v>
      </c>
    </row>
    <row r="309" spans="1:9" x14ac:dyDescent="0.35">
      <c r="B309" s="4" t="s">
        <v>13</v>
      </c>
      <c r="C309" s="4" t="s">
        <v>56</v>
      </c>
      <c r="D309" s="4">
        <v>41</v>
      </c>
      <c r="E309" s="4">
        <v>50</v>
      </c>
      <c r="H309" s="4">
        <f>E309</f>
        <v>50</v>
      </c>
      <c r="I309" s="4">
        <f>ROUND(E309+0.33*ABS(E309),2)</f>
        <v>66.5</v>
      </c>
    </row>
    <row r="310" spans="1:9" x14ac:dyDescent="0.35">
      <c r="B310" s="4" t="s">
        <v>16</v>
      </c>
      <c r="C310" s="4" t="s">
        <v>56</v>
      </c>
      <c r="D310" s="4">
        <v>41</v>
      </c>
      <c r="E310" s="4">
        <v>50</v>
      </c>
      <c r="H310" s="4">
        <f>E310</f>
        <v>50</v>
      </c>
      <c r="I310" s="4">
        <f>ROUND(E310+0.33*ABS(E310),2)</f>
        <v>66.5</v>
      </c>
    </row>
    <row r="311" spans="1:9" x14ac:dyDescent="0.35">
      <c r="B311" s="4" t="s">
        <v>16</v>
      </c>
      <c r="C311" s="4" t="s">
        <v>181</v>
      </c>
      <c r="D311" s="5" t="s">
        <v>37</v>
      </c>
      <c r="H311" s="5" t="str">
        <f>D311</f>
        <v>{"flag": true}</v>
      </c>
    </row>
    <row r="312" spans="1:9" x14ac:dyDescent="0.35">
      <c r="B312" s="4" t="s">
        <v>18</v>
      </c>
      <c r="C312" s="4" t="s">
        <v>122</v>
      </c>
      <c r="D312" s="4">
        <v>0.28999999999999998</v>
      </c>
      <c r="E312" s="4">
        <v>0.35</v>
      </c>
      <c r="H312" s="4">
        <f>E312</f>
        <v>0.35</v>
      </c>
      <c r="I312" s="4">
        <f>ROUND(E312+0.33*ABS(E312),2)</f>
        <v>0.47</v>
      </c>
    </row>
    <row r="313" spans="1:9" x14ac:dyDescent="0.35">
      <c r="B313" s="4" t="s">
        <v>18</v>
      </c>
      <c r="C313" s="4" t="s">
        <v>38</v>
      </c>
      <c r="D313" s="4">
        <v>0.06</v>
      </c>
      <c r="E313" s="4">
        <v>0.1</v>
      </c>
      <c r="H313" s="4">
        <f>E313</f>
        <v>0.1</v>
      </c>
      <c r="I313" s="4">
        <f>ROUND(E313+0.33*ABS(E313),2)</f>
        <v>0.13</v>
      </c>
    </row>
    <row r="315" spans="1:9" x14ac:dyDescent="0.35">
      <c r="A315" s="2" t="s">
        <v>182</v>
      </c>
      <c r="G315" s="3" t="s">
        <v>183</v>
      </c>
    </row>
    <row r="316" spans="1:9" x14ac:dyDescent="0.35">
      <c r="B316" s="4" t="s">
        <v>11</v>
      </c>
      <c r="C316" s="4" t="s">
        <v>12</v>
      </c>
      <c r="D316" s="4">
        <v>12339</v>
      </c>
      <c r="E316" s="4">
        <v>14538</v>
      </c>
      <c r="H316" s="4">
        <f>E316</f>
        <v>14538</v>
      </c>
      <c r="I316" s="4">
        <f>ROUND(E316+0.33*ABS(E316),0)</f>
        <v>19336</v>
      </c>
    </row>
    <row r="317" spans="1:9" x14ac:dyDescent="0.35">
      <c r="B317" s="4" t="s">
        <v>13</v>
      </c>
      <c r="C317" s="4" t="s">
        <v>174</v>
      </c>
      <c r="D317" s="4">
        <v>0.26</v>
      </c>
      <c r="E317" s="4">
        <v>0.4</v>
      </c>
      <c r="H317" s="4">
        <f>E317</f>
        <v>0.4</v>
      </c>
      <c r="I317" s="4">
        <f>ROUND(E317+0.33*ABS(E317),2)</f>
        <v>0.53</v>
      </c>
    </row>
    <row r="318" spans="1:9" x14ac:dyDescent="0.35">
      <c r="B318" s="4" t="s">
        <v>16</v>
      </c>
      <c r="C318" s="4" t="s">
        <v>133</v>
      </c>
      <c r="D318" s="4">
        <v>0.5</v>
      </c>
      <c r="E318" s="4">
        <v>1</v>
      </c>
      <c r="H318" s="4">
        <f>E318</f>
        <v>1</v>
      </c>
      <c r="I318" s="4">
        <f>ROUND(E318+0.33*ABS(E318),2)</f>
        <v>1.33</v>
      </c>
    </row>
    <row r="319" spans="1:9" x14ac:dyDescent="0.35">
      <c r="B319" s="4" t="s">
        <v>18</v>
      </c>
      <c r="C319" s="4" t="s">
        <v>44</v>
      </c>
      <c r="D319" s="4">
        <v>7</v>
      </c>
      <c r="E319" s="4">
        <v>12</v>
      </c>
      <c r="H319" s="4">
        <f>E319</f>
        <v>12</v>
      </c>
      <c r="I319" s="4">
        <f>ROUND(E319+0.33*ABS(E319),0)</f>
        <v>16</v>
      </c>
    </row>
    <row r="321" spans="1:9" x14ac:dyDescent="0.35">
      <c r="A321" s="2" t="s">
        <v>184</v>
      </c>
      <c r="G321" s="3" t="s">
        <v>185</v>
      </c>
    </row>
    <row r="322" spans="1:9" x14ac:dyDescent="0.35">
      <c r="B322" s="4" t="s">
        <v>11</v>
      </c>
      <c r="C322" s="4" t="s">
        <v>12</v>
      </c>
      <c r="D322" s="4">
        <v>12339</v>
      </c>
      <c r="E322" s="4">
        <v>14538</v>
      </c>
      <c r="H322" s="4">
        <f>E322</f>
        <v>14538</v>
      </c>
      <c r="I322" s="4">
        <f>ROUND(E322+0.33*ABS(E322),0)</f>
        <v>19336</v>
      </c>
    </row>
    <row r="323" spans="1:9" x14ac:dyDescent="0.35">
      <c r="B323" s="4" t="s">
        <v>13</v>
      </c>
      <c r="C323" s="4" t="s">
        <v>174</v>
      </c>
      <c r="D323" s="4">
        <v>0.26</v>
      </c>
      <c r="E323" s="4">
        <v>0.4</v>
      </c>
      <c r="H323" s="4">
        <f>E323</f>
        <v>0.4</v>
      </c>
      <c r="I323" s="4">
        <f>ROUND(E323+0.33*ABS(E323),2)</f>
        <v>0.53</v>
      </c>
    </row>
    <row r="324" spans="1:9" x14ac:dyDescent="0.35">
      <c r="B324" s="4" t="s">
        <v>16</v>
      </c>
      <c r="C324" s="4" t="s">
        <v>186</v>
      </c>
      <c r="D324" s="5" t="s">
        <v>70</v>
      </c>
      <c r="H324" s="6"/>
    </row>
    <row r="325" spans="1:9" x14ac:dyDescent="0.35">
      <c r="B325" s="4" t="s">
        <v>18</v>
      </c>
      <c r="C325" s="4" t="s">
        <v>187</v>
      </c>
      <c r="D325" s="4">
        <v>0.2</v>
      </c>
      <c r="E325" s="4">
        <v>0.5</v>
      </c>
      <c r="H325" s="4">
        <f>E325</f>
        <v>0.5</v>
      </c>
      <c r="I325" s="4">
        <f>ROUND(E325+0.33*ABS(E325),2)</f>
        <v>0.67</v>
      </c>
    </row>
    <row r="327" spans="1:9" x14ac:dyDescent="0.35">
      <c r="A327" s="2" t="s">
        <v>188</v>
      </c>
      <c r="G327" s="3" t="s">
        <v>189</v>
      </c>
    </row>
    <row r="328" spans="1:9" x14ac:dyDescent="0.35">
      <c r="B328" s="4" t="s">
        <v>11</v>
      </c>
      <c r="C328" s="4" t="s">
        <v>12</v>
      </c>
      <c r="D328" s="4">
        <v>12339</v>
      </c>
      <c r="E328" s="4">
        <v>14538</v>
      </c>
      <c r="H328" s="4">
        <f>E328</f>
        <v>14538</v>
      </c>
      <c r="I328" s="4">
        <f>ROUND(E328+0.33*ABS(E328),0)</f>
        <v>19336</v>
      </c>
    </row>
    <row r="329" spans="1:9" x14ac:dyDescent="0.35">
      <c r="B329" s="4" t="s">
        <v>13</v>
      </c>
      <c r="C329" s="4" t="s">
        <v>174</v>
      </c>
      <c r="D329" s="4">
        <v>0.26</v>
      </c>
      <c r="E329" s="4">
        <v>0.4</v>
      </c>
      <c r="H329" s="4">
        <f>E329</f>
        <v>0.4</v>
      </c>
      <c r="I329" s="4">
        <f>ROUND(E329+0.33*ABS(E329),2)</f>
        <v>0.53</v>
      </c>
    </row>
    <row r="330" spans="1:9" x14ac:dyDescent="0.35">
      <c r="B330" s="4" t="s">
        <v>16</v>
      </c>
      <c r="C330" s="4" t="s">
        <v>122</v>
      </c>
      <c r="D330" s="4">
        <v>0.28999999999999998</v>
      </c>
      <c r="E330" s="4">
        <v>0.35</v>
      </c>
      <c r="H330" s="4">
        <f>E330</f>
        <v>0.35</v>
      </c>
      <c r="I330" s="4">
        <f>ROUND(E330+0.33*ABS(E330),2)</f>
        <v>0.47</v>
      </c>
    </row>
    <row r="331" spans="1:9" x14ac:dyDescent="0.35">
      <c r="B331" s="4" t="s">
        <v>16</v>
      </c>
      <c r="C331" s="4" t="s">
        <v>132</v>
      </c>
      <c r="D331" s="4">
        <v>0.13</v>
      </c>
      <c r="E331" s="4">
        <v>0.16</v>
      </c>
      <c r="H331" s="4">
        <f>E331</f>
        <v>0.16</v>
      </c>
      <c r="I331" s="4">
        <f>ROUND(E331+0.33*ABS(E331),2)</f>
        <v>0.21</v>
      </c>
    </row>
    <row r="332" spans="1:9" x14ac:dyDescent="0.35">
      <c r="B332" s="4" t="s">
        <v>18</v>
      </c>
      <c r="C332" s="4" t="s">
        <v>190</v>
      </c>
      <c r="D332" s="5" t="s">
        <v>191</v>
      </c>
      <c r="H332" s="5" t="str">
        <f>D332</f>
        <v>{"chance": {"min": 0.2, "max": 0.7, "step": 0.05}, "percentAttackDamage": {"min": 0.6, "max": 1.2, "step": 0.05}}</v>
      </c>
    </row>
    <row r="334" spans="1:9" x14ac:dyDescent="0.35">
      <c r="A334" s="2" t="s">
        <v>192</v>
      </c>
      <c r="G334" s="3" t="s">
        <v>193</v>
      </c>
    </row>
    <row r="335" spans="1:9" x14ac:dyDescent="0.35">
      <c r="B335" s="4" t="s">
        <v>11</v>
      </c>
      <c r="C335" s="4" t="s">
        <v>12</v>
      </c>
      <c r="D335" s="4">
        <v>12339</v>
      </c>
      <c r="E335" s="4">
        <v>14538</v>
      </c>
      <c r="H335" s="4">
        <f>E335</f>
        <v>14538</v>
      </c>
      <c r="I335" s="4">
        <f>ROUND(E335+0.33*ABS(E335),0)</f>
        <v>19336</v>
      </c>
    </row>
    <row r="336" spans="1:9" x14ac:dyDescent="0.35">
      <c r="B336" s="4" t="s">
        <v>16</v>
      </c>
      <c r="C336" s="4" t="s">
        <v>41</v>
      </c>
      <c r="D336" s="5" t="s">
        <v>194</v>
      </c>
      <c r="H336" s="5" t="str">
        <f>D336</f>
        <v>{"abilityKey": "Dash_Warp", "levelChange": 1}</v>
      </c>
    </row>
    <row r="337" spans="1:9" x14ac:dyDescent="0.35">
      <c r="B337" s="4" t="s">
        <v>16</v>
      </c>
      <c r="C337" s="4" t="s">
        <v>195</v>
      </c>
      <c r="D337" s="4">
        <v>0.1</v>
      </c>
      <c r="E337" s="4">
        <v>0.25</v>
      </c>
      <c r="H337" s="4">
        <f>E337</f>
        <v>0.25</v>
      </c>
      <c r="I337" s="4">
        <f>ROUND(E337+0.33*ABS(E337),2)</f>
        <v>0.33</v>
      </c>
    </row>
    <row r="338" spans="1:9" x14ac:dyDescent="0.35">
      <c r="B338" s="4" t="s">
        <v>18</v>
      </c>
      <c r="C338" s="4" t="s">
        <v>117</v>
      </c>
      <c r="D338" s="4">
        <v>-0.26</v>
      </c>
      <c r="E338" s="4">
        <v>-0.5</v>
      </c>
      <c r="H338" s="4">
        <f>E338</f>
        <v>-0.5</v>
      </c>
      <c r="I338" s="4">
        <f>ROUND(E338+0.33*ABS(E338),2)</f>
        <v>-0.34</v>
      </c>
    </row>
    <row r="339" spans="1:9" x14ac:dyDescent="0.35">
      <c r="B339" s="4" t="s">
        <v>18</v>
      </c>
      <c r="C339" s="4" t="s">
        <v>118</v>
      </c>
      <c r="D339" s="4">
        <v>0.81</v>
      </c>
      <c r="E339" s="4">
        <v>1</v>
      </c>
      <c r="H339" s="4">
        <f>E339</f>
        <v>1</v>
      </c>
      <c r="I339" s="4">
        <f>ROUND(E339+0.33*ABS(E339),2)</f>
        <v>1.33</v>
      </c>
    </row>
    <row r="341" spans="1:9" x14ac:dyDescent="0.35">
      <c r="A341" s="2" t="s">
        <v>196</v>
      </c>
      <c r="G341" s="3" t="s">
        <v>197</v>
      </c>
    </row>
    <row r="342" spans="1:9" x14ac:dyDescent="0.35">
      <c r="B342" s="4" t="s">
        <v>11</v>
      </c>
      <c r="C342" s="4" t="s">
        <v>12</v>
      </c>
      <c r="D342" s="4">
        <v>9202</v>
      </c>
      <c r="E342" s="4">
        <v>10501</v>
      </c>
      <c r="H342" s="4">
        <f>E342</f>
        <v>10501</v>
      </c>
      <c r="I342" s="4">
        <f>ROUND(E342+0.33*ABS(E342),0)</f>
        <v>13966</v>
      </c>
    </row>
    <row r="343" spans="1:9" x14ac:dyDescent="0.35">
      <c r="B343" s="4" t="s">
        <v>13</v>
      </c>
      <c r="C343" s="4" t="s">
        <v>153</v>
      </c>
      <c r="D343" s="4">
        <v>91</v>
      </c>
      <c r="E343" s="4">
        <v>100</v>
      </c>
      <c r="H343" s="4">
        <f>E343</f>
        <v>100</v>
      </c>
      <c r="I343" s="4">
        <f>ROUND(E343+0.33*ABS(E343),0)</f>
        <v>133</v>
      </c>
    </row>
    <row r="344" spans="1:9" x14ac:dyDescent="0.35">
      <c r="B344" s="4" t="s">
        <v>16</v>
      </c>
      <c r="C344" s="4" t="s">
        <v>41</v>
      </c>
      <c r="D344" s="5" t="s">
        <v>140</v>
      </c>
      <c r="H344" s="5" t="str">
        <f>D344</f>
        <v>{"abilityKey": "Nova_Slow", "levelChange": 2}</v>
      </c>
    </row>
    <row r="345" spans="1:9" x14ac:dyDescent="0.35">
      <c r="B345" s="4" t="s">
        <v>16</v>
      </c>
      <c r="C345" s="4" t="s">
        <v>44</v>
      </c>
      <c r="D345" s="4">
        <v>5</v>
      </c>
      <c r="E345" s="4">
        <v>6</v>
      </c>
      <c r="H345" s="4">
        <f>E345</f>
        <v>6</v>
      </c>
      <c r="I345" s="4">
        <f>ROUND(E345+0.33*ABS(E345),0)</f>
        <v>8</v>
      </c>
    </row>
    <row r="346" spans="1:9" x14ac:dyDescent="0.35">
      <c r="B346" s="4" t="s">
        <v>18</v>
      </c>
      <c r="C346" s="4" t="s">
        <v>38</v>
      </c>
      <c r="D346" s="4">
        <v>0.09</v>
      </c>
      <c r="E346" s="4">
        <v>0.12</v>
      </c>
      <c r="H346" s="4">
        <f>E346</f>
        <v>0.12</v>
      </c>
      <c r="I346" s="4">
        <f>ROUND(E346+0.33*ABS(E346),2)</f>
        <v>0.16</v>
      </c>
    </row>
    <row r="348" spans="1:9" x14ac:dyDescent="0.35">
      <c r="A348" s="2" t="s">
        <v>198</v>
      </c>
      <c r="G348" s="3" t="s">
        <v>199</v>
      </c>
    </row>
    <row r="349" spans="1:9" x14ac:dyDescent="0.35">
      <c r="B349" s="4" t="s">
        <v>11</v>
      </c>
      <c r="C349" s="4" t="s">
        <v>12</v>
      </c>
      <c r="D349" s="4">
        <v>9202</v>
      </c>
      <c r="E349" s="4">
        <v>10501</v>
      </c>
      <c r="H349" s="4">
        <f>E349</f>
        <v>10501</v>
      </c>
      <c r="I349" s="4">
        <f>ROUND(E349+0.33*ABS(E349),0)</f>
        <v>13966</v>
      </c>
    </row>
    <row r="350" spans="1:9" x14ac:dyDescent="0.35">
      <c r="B350" s="4" t="s">
        <v>13</v>
      </c>
      <c r="C350" s="4" t="s">
        <v>153</v>
      </c>
      <c r="D350" s="4">
        <v>91</v>
      </c>
      <c r="E350" s="4">
        <v>100</v>
      </c>
      <c r="H350" s="4">
        <f>E350</f>
        <v>100</v>
      </c>
      <c r="I350" s="4">
        <f>ROUND(E350+0.33*ABS(E350),0)</f>
        <v>133</v>
      </c>
    </row>
    <row r="351" spans="1:9" x14ac:dyDescent="0.35">
      <c r="B351" s="4" t="s">
        <v>16</v>
      </c>
      <c r="C351" s="4" t="s">
        <v>200</v>
      </c>
      <c r="D351" s="5" t="s">
        <v>70</v>
      </c>
      <c r="H351" s="6"/>
    </row>
    <row r="352" spans="1:9" x14ac:dyDescent="0.35">
      <c r="B352" s="4" t="s">
        <v>18</v>
      </c>
      <c r="C352" s="4" t="s">
        <v>118</v>
      </c>
      <c r="D352" s="4">
        <v>0.81</v>
      </c>
      <c r="E352" s="4">
        <v>1</v>
      </c>
      <c r="H352" s="4">
        <f>E352</f>
        <v>1</v>
      </c>
      <c r="I352" s="4">
        <f>ROUND(E352+0.33*ABS(E352),2)</f>
        <v>1.33</v>
      </c>
    </row>
    <row r="353" spans="1:9" x14ac:dyDescent="0.35">
      <c r="B353" s="4" t="s">
        <v>18</v>
      </c>
      <c r="C353" s="4" t="s">
        <v>201</v>
      </c>
      <c r="D353" s="4">
        <v>0.05</v>
      </c>
      <c r="E353" s="4">
        <v>0.2</v>
      </c>
      <c r="H353" s="4">
        <f>E353</f>
        <v>0.2</v>
      </c>
      <c r="I353" s="4">
        <f>ROUND(E353+0.33*ABS(E353),2)</f>
        <v>0.27</v>
      </c>
    </row>
    <row r="355" spans="1:9" x14ac:dyDescent="0.35">
      <c r="A355" s="2" t="s">
        <v>202</v>
      </c>
      <c r="G355" s="3" t="s">
        <v>203</v>
      </c>
    </row>
    <row r="356" spans="1:9" x14ac:dyDescent="0.35">
      <c r="B356" s="4" t="s">
        <v>11</v>
      </c>
      <c r="C356" s="4" t="s">
        <v>12</v>
      </c>
      <c r="D356" s="4">
        <v>12339</v>
      </c>
      <c r="E356" s="4">
        <v>14538</v>
      </c>
      <c r="H356" s="4">
        <f>E356</f>
        <v>14538</v>
      </c>
      <c r="I356" s="4">
        <f>ROUND(E356+0.33*ABS(E356),0)</f>
        <v>19336</v>
      </c>
    </row>
    <row r="357" spans="1:9" x14ac:dyDescent="0.35">
      <c r="B357" s="4" t="s">
        <v>13</v>
      </c>
      <c r="C357" s="4" t="s">
        <v>204</v>
      </c>
      <c r="D357" s="5" t="s">
        <v>70</v>
      </c>
      <c r="H357" s="6"/>
    </row>
    <row r="358" spans="1:9" x14ac:dyDescent="0.35">
      <c r="B358" s="4" t="s">
        <v>16</v>
      </c>
      <c r="C358" s="4" t="s">
        <v>83</v>
      </c>
      <c r="D358" s="5" t="s">
        <v>205</v>
      </c>
      <c r="H358" s="5" t="str">
        <f t="shared" ref="H358:H363" si="17">D358</f>
        <v>{"tooltipDisplayName": "Healing V", "potion": "minecraft:empty", "additionalEffects": [{"effect": "minecraft:instant_health", "duration": 20, "amplifier": 2}], "duration": 240, "radius": 4.0, "color": 16262179, "affectsOwner": true, "triggerChance": 0.05}</v>
      </c>
    </row>
    <row r="359" spans="1:9" x14ac:dyDescent="0.35">
      <c r="B359" s="4" t="s">
        <v>16</v>
      </c>
      <c r="C359" s="4" t="s">
        <v>83</v>
      </c>
      <c r="D359" s="5" t="s">
        <v>206</v>
      </c>
      <c r="H359" s="5" t="str">
        <f t="shared" si="17"/>
        <v>{"tooltipDisplayName": "Wither V", "potion": "minecraft:empty", "additionalEffects": [{"effect": "minecraft:wither", "duration": 200, "amplifier": 4}], "duration": 300, "radius": 4.0, "color": 3484199, "affectsOwner": false, "triggerChance": 0.05}</v>
      </c>
    </row>
    <row r="360" spans="1:9" x14ac:dyDescent="0.35">
      <c r="B360" s="4" t="s">
        <v>16</v>
      </c>
      <c r="C360" s="4" t="s">
        <v>83</v>
      </c>
      <c r="D360" s="5" t="s">
        <v>207</v>
      </c>
      <c r="H360" s="5" t="str">
        <f t="shared" si="17"/>
        <v>{"tooltipDisplayName": "Bleed V", "potion": "minecraft:empty", "additionalEffects": [{"effect": "the_vault:bleed", "duration": 200, "amplifier": 4}], "duration": 300, "radius": 4.0, "color": 16711680, "affectsOwner": false, "triggerChance": 0.05}</v>
      </c>
    </row>
    <row r="361" spans="1:9" x14ac:dyDescent="0.35">
      <c r="B361" s="4" t="s">
        <v>16</v>
      </c>
      <c r="C361" s="4" t="s">
        <v>83</v>
      </c>
      <c r="D361" s="5" t="s">
        <v>208</v>
      </c>
      <c r="H361" s="5" t="str">
        <f t="shared" si="17"/>
        <v>{"tooltipDisplayName": "Poison V", "potion": "minecraft:empty", "additionalEffects": [{"effect": "minecraft:poison", "duration": 200, "amplifier": 4}], "duration": 300, "radius": 4.0, "color": 5149489, "affectsOwner": false, "triggerChance": 0.05}</v>
      </c>
    </row>
    <row r="362" spans="1:9" x14ac:dyDescent="0.35">
      <c r="B362" s="4" t="s">
        <v>18</v>
      </c>
      <c r="C362" s="4" t="s">
        <v>83</v>
      </c>
      <c r="D362" s="5" t="s">
        <v>209</v>
      </c>
      <c r="H362" s="5" t="str">
        <f t="shared" si="17"/>
        <v>{"tooltipDisplayName": "Slowness V", "potion": "minecraft:empty", "additionalEffects": [{"effect": "minecraft:slowness", "duration": 200, "amplifier": 4}], "duration": 300, "radius": 4.0, "color": 5926017, "affectsOwner": false, "triggerChance": 0.05}</v>
      </c>
    </row>
    <row r="363" spans="1:9" x14ac:dyDescent="0.35">
      <c r="B363" s="4" t="s">
        <v>18</v>
      </c>
      <c r="C363" s="4" t="s">
        <v>83</v>
      </c>
      <c r="D363" s="5" t="s">
        <v>210</v>
      </c>
      <c r="H363" s="5" t="str">
        <f t="shared" si="17"/>
        <v>{"tooltipDisplayName": "Weakness V", "potion": "minecraft:empty", "additionalEffects": [{"effect": "minecraft:weakness", "duration": 300, "amplifier": 0}], "duration": 300, "radius": 4.0, "color": 4738376, "affectsOwner": false, "triggerChance": 0.05}</v>
      </c>
    </row>
    <row r="364" spans="1:9" x14ac:dyDescent="0.35">
      <c r="B364" s="4" t="s">
        <v>18</v>
      </c>
      <c r="C364" s="4" t="s">
        <v>211</v>
      </c>
      <c r="D364" s="4">
        <v>0.09</v>
      </c>
      <c r="E364" s="4">
        <v>0.12</v>
      </c>
      <c r="H364" s="4">
        <f>E364</f>
        <v>0.12</v>
      </c>
      <c r="I364" s="4">
        <f>ROUND(E364+0.33*ABS(E364),2)</f>
        <v>0.16</v>
      </c>
    </row>
    <row r="365" spans="1:9" x14ac:dyDescent="0.35">
      <c r="B365" s="4" t="s">
        <v>18</v>
      </c>
      <c r="C365" s="4" t="s">
        <v>41</v>
      </c>
      <c r="D365" s="5" t="s">
        <v>212</v>
      </c>
      <c r="H365" s="5" t="str">
        <f>D365</f>
        <v>{"abilityKey": "Expunge_Base", "levelChange": 4}</v>
      </c>
    </row>
    <row r="367" spans="1:9" x14ac:dyDescent="0.35">
      <c r="A367" s="2" t="s">
        <v>213</v>
      </c>
      <c r="G367" s="3" t="s">
        <v>214</v>
      </c>
    </row>
    <row r="368" spans="1:9" x14ac:dyDescent="0.35">
      <c r="B368" s="4" t="s">
        <v>11</v>
      </c>
      <c r="C368" s="4" t="s">
        <v>12</v>
      </c>
      <c r="D368" s="4">
        <v>12339</v>
      </c>
      <c r="E368" s="4">
        <v>14538</v>
      </c>
      <c r="H368" s="4">
        <f>E368</f>
        <v>14538</v>
      </c>
      <c r="I368" s="4">
        <f>ROUND(E368+0.33*ABS(E368),0)</f>
        <v>19336</v>
      </c>
    </row>
    <row r="369" spans="1:9" x14ac:dyDescent="0.35">
      <c r="B369" s="4" t="s">
        <v>13</v>
      </c>
      <c r="C369" s="4" t="s">
        <v>215</v>
      </c>
      <c r="D369" s="5" t="s">
        <v>216</v>
      </c>
      <c r="H369" s="5" t="str">
        <f>D369</f>
        <v>{"effectKey": "minecraft:saturation", "amplifier": 1}</v>
      </c>
    </row>
    <row r="370" spans="1:9" x14ac:dyDescent="0.35">
      <c r="B370" s="4" t="s">
        <v>13</v>
      </c>
      <c r="C370" s="4" t="s">
        <v>215</v>
      </c>
      <c r="D370" s="5" t="s">
        <v>217</v>
      </c>
      <c r="H370" s="5" t="str">
        <f>D370</f>
        <v>{"effectKey": "minecraft:regeneration", "amplifier": 1}</v>
      </c>
    </row>
    <row r="371" spans="1:9" x14ac:dyDescent="0.35">
      <c r="B371" s="4" t="s">
        <v>18</v>
      </c>
      <c r="C371" s="4" t="s">
        <v>57</v>
      </c>
      <c r="D371" s="4">
        <v>0.45</v>
      </c>
      <c r="E371" s="4">
        <v>0.5</v>
      </c>
      <c r="H371" s="4">
        <f>E371</f>
        <v>0.5</v>
      </c>
      <c r="I371" s="4">
        <f>ROUND(E371+0.33*ABS(E371),2)</f>
        <v>0.67</v>
      </c>
    </row>
    <row r="373" spans="1:9" x14ac:dyDescent="0.35">
      <c r="A373" s="2" t="s">
        <v>218</v>
      </c>
      <c r="G373" s="3" t="s">
        <v>219</v>
      </c>
    </row>
    <row r="374" spans="1:9" x14ac:dyDescent="0.35">
      <c r="B374" s="4" t="s">
        <v>11</v>
      </c>
      <c r="C374" s="4" t="s">
        <v>12</v>
      </c>
      <c r="D374" s="4">
        <v>9202</v>
      </c>
      <c r="E374" s="4">
        <v>10501</v>
      </c>
      <c r="H374" s="4">
        <f>E374</f>
        <v>10501</v>
      </c>
      <c r="I374" s="4">
        <f>ROUND(E374+0.33*ABS(E374),0)</f>
        <v>13966</v>
      </c>
    </row>
    <row r="375" spans="1:9" x14ac:dyDescent="0.35">
      <c r="B375" s="4" t="s">
        <v>13</v>
      </c>
      <c r="C375" s="4" t="s">
        <v>103</v>
      </c>
      <c r="D375" s="4">
        <v>2</v>
      </c>
      <c r="E375" s="4">
        <v>4</v>
      </c>
      <c r="H375" s="4">
        <f>E375</f>
        <v>4</v>
      </c>
      <c r="I375" s="4">
        <f>ROUND(E375+0.33*ABS(E375),0)</f>
        <v>5</v>
      </c>
    </row>
    <row r="376" spans="1:9" x14ac:dyDescent="0.35">
      <c r="B376" s="4" t="s">
        <v>16</v>
      </c>
      <c r="C376" s="4" t="s">
        <v>220</v>
      </c>
      <c r="D376" s="4">
        <v>0.91</v>
      </c>
      <c r="E376" s="4">
        <v>1</v>
      </c>
      <c r="H376" s="4">
        <f>E376</f>
        <v>1</v>
      </c>
      <c r="I376" s="4">
        <f>ROUND(E376+0.33*ABS(E376),2)</f>
        <v>1.33</v>
      </c>
    </row>
    <row r="377" spans="1:9" x14ac:dyDescent="0.35">
      <c r="B377" s="4" t="s">
        <v>18</v>
      </c>
      <c r="C377" s="4" t="s">
        <v>43</v>
      </c>
      <c r="D377" s="4">
        <v>0.17</v>
      </c>
      <c r="E377" s="4">
        <v>0.2</v>
      </c>
      <c r="H377" s="4">
        <f>E377</f>
        <v>0.2</v>
      </c>
      <c r="I377" s="4">
        <f>ROUND(E377+0.33*ABS(E377),2)</f>
        <v>0.27</v>
      </c>
    </row>
    <row r="379" spans="1:9" x14ac:dyDescent="0.35">
      <c r="A379" s="2" t="s">
        <v>221</v>
      </c>
      <c r="G379" s="3" t="s">
        <v>222</v>
      </c>
    </row>
    <row r="380" spans="1:9" x14ac:dyDescent="0.35">
      <c r="B380" s="4" t="s">
        <v>11</v>
      </c>
      <c r="C380" s="4" t="s">
        <v>12</v>
      </c>
      <c r="D380" s="4">
        <v>9202</v>
      </c>
      <c r="E380" s="4">
        <v>10501</v>
      </c>
      <c r="H380" s="4">
        <f>E380</f>
        <v>10501</v>
      </c>
      <c r="I380" s="4">
        <f>ROUND(E380+0.33*ABS(E380),0)</f>
        <v>13966</v>
      </c>
    </row>
    <row r="381" spans="1:9" x14ac:dyDescent="0.35">
      <c r="B381" s="4" t="s">
        <v>13</v>
      </c>
      <c r="C381" s="4" t="s">
        <v>17</v>
      </c>
      <c r="D381" s="4">
        <v>45</v>
      </c>
      <c r="E381" s="4">
        <v>50</v>
      </c>
      <c r="H381" s="4">
        <f>E381</f>
        <v>50</v>
      </c>
      <c r="I381" s="4">
        <f>ROUND(E381+0.33*ABS(E381),2)</f>
        <v>66.5</v>
      </c>
    </row>
    <row r="382" spans="1:9" x14ac:dyDescent="0.35">
      <c r="B382" s="4" t="s">
        <v>16</v>
      </c>
      <c r="C382" s="4" t="s">
        <v>51</v>
      </c>
      <c r="D382" s="4">
        <v>0.16</v>
      </c>
      <c r="E382" s="4">
        <v>0.2</v>
      </c>
      <c r="H382" s="4">
        <f>E382</f>
        <v>0.2</v>
      </c>
      <c r="I382" s="4">
        <f>ROUND(E382+0.33*ABS(E382),2)</f>
        <v>0.27</v>
      </c>
    </row>
    <row r="383" spans="1:9" x14ac:dyDescent="0.35">
      <c r="B383" s="4" t="s">
        <v>16</v>
      </c>
      <c r="C383" s="4" t="s">
        <v>41</v>
      </c>
      <c r="D383" s="5" t="s">
        <v>223</v>
      </c>
      <c r="H383" s="5" t="str">
        <f>D383</f>
        <v>{"abilityKey": "Fireball_Base", "levelChange": 2}</v>
      </c>
    </row>
    <row r="384" spans="1:9" x14ac:dyDescent="0.35">
      <c r="B384" s="4" t="s">
        <v>18</v>
      </c>
      <c r="C384" s="4" t="s">
        <v>116</v>
      </c>
      <c r="D384" s="4">
        <v>0.25</v>
      </c>
      <c r="E384" s="4">
        <v>0.5</v>
      </c>
      <c r="H384" s="4">
        <f>E384</f>
        <v>0.5</v>
      </c>
      <c r="I384" s="4">
        <f>ROUND(E384+0.33*ABS(E384),2)</f>
        <v>0.67</v>
      </c>
    </row>
    <row r="385" spans="1:9" x14ac:dyDescent="0.35">
      <c r="B385" s="4" t="s">
        <v>18</v>
      </c>
      <c r="C385" s="4" t="s">
        <v>123</v>
      </c>
      <c r="D385" s="4">
        <v>0.26</v>
      </c>
      <c r="E385" s="4">
        <v>0.28000000000000003</v>
      </c>
      <c r="H385" s="4">
        <f>E385</f>
        <v>0.28000000000000003</v>
      </c>
      <c r="I385" s="4">
        <f>ROUND(E385+0.33*ABS(E385),2)</f>
        <v>0.37</v>
      </c>
    </row>
    <row r="386" spans="1:9" x14ac:dyDescent="0.35">
      <c r="B386" s="4" t="s">
        <v>18</v>
      </c>
      <c r="C386" s="4" t="s">
        <v>43</v>
      </c>
      <c r="D386" s="4">
        <v>0.17</v>
      </c>
      <c r="E386" s="4">
        <v>0.2</v>
      </c>
      <c r="H386" s="4">
        <f>E386</f>
        <v>0.2</v>
      </c>
      <c r="I386" s="4">
        <f>ROUND(E386+0.33*ABS(E386),2)</f>
        <v>0.27</v>
      </c>
    </row>
    <row r="388" spans="1:9" x14ac:dyDescent="0.35">
      <c r="A388" s="2" t="s">
        <v>224</v>
      </c>
      <c r="G388" s="3" t="s">
        <v>225</v>
      </c>
    </row>
    <row r="389" spans="1:9" x14ac:dyDescent="0.35">
      <c r="B389" s="4" t="s">
        <v>11</v>
      </c>
      <c r="C389" s="4" t="s">
        <v>12</v>
      </c>
      <c r="D389" s="4">
        <v>12339</v>
      </c>
      <c r="E389" s="4">
        <v>14538</v>
      </c>
      <c r="H389" s="4">
        <f>E389</f>
        <v>14538</v>
      </c>
      <c r="I389" s="4">
        <f>ROUND(E389+0.33*ABS(E389),0)</f>
        <v>19336</v>
      </c>
    </row>
    <row r="390" spans="1:9" x14ac:dyDescent="0.35">
      <c r="B390" s="4" t="s">
        <v>13</v>
      </c>
      <c r="C390" s="4" t="s">
        <v>204</v>
      </c>
      <c r="D390" s="5" t="s">
        <v>70</v>
      </c>
      <c r="H390" s="6"/>
    </row>
    <row r="391" spans="1:9" x14ac:dyDescent="0.35">
      <c r="B391" s="4" t="s">
        <v>16</v>
      </c>
      <c r="C391" s="4" t="s">
        <v>41</v>
      </c>
      <c r="D391" s="5" t="s">
        <v>226</v>
      </c>
      <c r="H391" s="5" t="str">
        <f>D391</f>
        <v>{"abilityKey": "Javelin_Base", "levelChange": 1}</v>
      </c>
    </row>
    <row r="392" spans="1:9" x14ac:dyDescent="0.35">
      <c r="B392" s="4" t="s">
        <v>16</v>
      </c>
      <c r="C392" s="4" t="s">
        <v>41</v>
      </c>
      <c r="D392" s="5" t="s">
        <v>227</v>
      </c>
      <c r="H392" s="5" t="str">
        <f>D392</f>
        <v>{"abilityKey": "Implode", "levelChange": 1}</v>
      </c>
    </row>
    <row r="393" spans="1:9" x14ac:dyDescent="0.35">
      <c r="B393" s="4" t="s">
        <v>16</v>
      </c>
      <c r="C393" s="4" t="s">
        <v>228</v>
      </c>
      <c r="D393" s="5" t="s">
        <v>37</v>
      </c>
      <c r="H393" s="5" t="str">
        <f>D393</f>
        <v>{"flag": true}</v>
      </c>
    </row>
    <row r="394" spans="1:9" x14ac:dyDescent="0.35">
      <c r="B394" s="4" t="s">
        <v>18</v>
      </c>
      <c r="C394" s="4" t="s">
        <v>229</v>
      </c>
      <c r="D394" s="4">
        <v>1.5</v>
      </c>
      <c r="E394" s="4">
        <v>3</v>
      </c>
      <c r="H394" s="4">
        <f>E394</f>
        <v>3</v>
      </c>
      <c r="I394" s="4">
        <f>ROUND(E394+0.33*ABS(E394),2)</f>
        <v>3.99</v>
      </c>
    </row>
    <row r="395" spans="1:9" x14ac:dyDescent="0.35">
      <c r="B395" s="4" t="s">
        <v>18</v>
      </c>
      <c r="C395" s="4" t="s">
        <v>117</v>
      </c>
      <c r="D395" s="4">
        <v>12</v>
      </c>
      <c r="E395" s="4">
        <v>16</v>
      </c>
      <c r="H395" s="4">
        <f>E395</f>
        <v>16</v>
      </c>
      <c r="I395" s="4">
        <f>ROUND(E395+0.33*ABS(E395),2)</f>
        <v>21.28</v>
      </c>
    </row>
    <row r="396" spans="1:9" x14ac:dyDescent="0.35">
      <c r="B396" s="4" t="s">
        <v>18</v>
      </c>
      <c r="C396" s="4" t="s">
        <v>118</v>
      </c>
      <c r="D396" s="4">
        <v>0.81</v>
      </c>
      <c r="E396" s="4">
        <v>1</v>
      </c>
      <c r="H396" s="4">
        <f>E396</f>
        <v>1</v>
      </c>
      <c r="I396" s="4">
        <f>ROUND(E396+0.33*ABS(E396),2)</f>
        <v>1.33</v>
      </c>
    </row>
    <row r="398" spans="1:9" x14ac:dyDescent="0.35">
      <c r="A398" s="2" t="s">
        <v>230</v>
      </c>
      <c r="G398" s="3" t="s">
        <v>231</v>
      </c>
    </row>
    <row r="399" spans="1:9" x14ac:dyDescent="0.35">
      <c r="B399" s="4" t="s">
        <v>11</v>
      </c>
      <c r="C399" s="4" t="s">
        <v>12</v>
      </c>
      <c r="D399" s="4">
        <v>12339</v>
      </c>
      <c r="E399" s="4">
        <v>14538</v>
      </c>
      <c r="H399" s="4">
        <f>E399</f>
        <v>14538</v>
      </c>
      <c r="I399" s="4">
        <f>ROUND(E399+0.33*ABS(E399),0)</f>
        <v>19336</v>
      </c>
    </row>
    <row r="400" spans="1:9" x14ac:dyDescent="0.35">
      <c r="B400" s="4" t="s">
        <v>16</v>
      </c>
      <c r="C400" s="4" t="s">
        <v>232</v>
      </c>
      <c r="D400" s="4">
        <v>1</v>
      </c>
      <c r="E400" s="4">
        <v>1</v>
      </c>
      <c r="H400" s="4">
        <f>E400</f>
        <v>1</v>
      </c>
      <c r="I400" s="4">
        <f>ROUND(E400+0.33*ABS(E400),2)</f>
        <v>1.33</v>
      </c>
    </row>
    <row r="401" spans="1:9" x14ac:dyDescent="0.35">
      <c r="B401" s="4" t="s">
        <v>16</v>
      </c>
      <c r="C401" s="4" t="s">
        <v>123</v>
      </c>
      <c r="D401" s="4">
        <v>-0.6</v>
      </c>
      <c r="E401" s="4">
        <v>-0.4</v>
      </c>
      <c r="H401" s="4">
        <f>E401</f>
        <v>-0.4</v>
      </c>
      <c r="I401" s="4">
        <f>ROUND(E401+0.33*ABS(E401),2)</f>
        <v>-0.27</v>
      </c>
    </row>
    <row r="402" spans="1:9" x14ac:dyDescent="0.35">
      <c r="B402" s="4" t="s">
        <v>18</v>
      </c>
      <c r="C402" s="4" t="s">
        <v>157</v>
      </c>
      <c r="D402" s="5" t="s">
        <v>233</v>
      </c>
      <c r="H402" s="5" t="str">
        <f>D402</f>
        <v>{"effectKeys": ["minecraft:poison", "minecraft:wither", "minecraft:levitation", "minecraft:slowness", "minecraft:blindness", "minecraft:hunger", "the_vault:bleed", "the_vault:chilled", "the_vault:corruption"], "name": "the_vault.gear_attribute.effect_avoidance.avoidance.bad_effects", "minChance": 0.5, "maxChance": 1.0, "step": 0.05}</v>
      </c>
    </row>
    <row r="404" spans="1:9" x14ac:dyDescent="0.35">
      <c r="A404" s="2" t="s">
        <v>234</v>
      </c>
      <c r="G404" s="3" t="s">
        <v>235</v>
      </c>
    </row>
    <row r="405" spans="1:9" x14ac:dyDescent="0.35">
      <c r="B405" s="4" t="s">
        <v>11</v>
      </c>
      <c r="C405" s="4" t="s">
        <v>12</v>
      </c>
      <c r="D405" s="4">
        <v>12339</v>
      </c>
      <c r="E405" s="4">
        <v>14538</v>
      </c>
      <c r="H405" s="4">
        <f>E405</f>
        <v>14538</v>
      </c>
      <c r="I405" s="4">
        <f>ROUND(E405+0.33*ABS(E405),0)</f>
        <v>19336</v>
      </c>
    </row>
    <row r="406" spans="1:9" x14ac:dyDescent="0.35">
      <c r="B406" s="4" t="s">
        <v>13</v>
      </c>
      <c r="C406" s="4" t="s">
        <v>236</v>
      </c>
      <c r="D406" s="5" t="s">
        <v>237</v>
      </c>
      <c r="H406" s="5" t="str">
        <f>D406</f>
        <v>{"effectKey": "woldsvaults:safer_space", "amplifier": 3}</v>
      </c>
    </row>
    <row r="407" spans="1:9" x14ac:dyDescent="0.35">
      <c r="B407" s="4" t="s">
        <v>13</v>
      </c>
      <c r="C407" s="4" t="s">
        <v>174</v>
      </c>
      <c r="D407" s="4">
        <v>0.23</v>
      </c>
      <c r="E407" s="4">
        <v>0.25</v>
      </c>
      <c r="H407" s="4">
        <f>E407</f>
        <v>0.25</v>
      </c>
      <c r="I407" s="4">
        <f>ROUND(E407+0.33*ABS(E407),2)</f>
        <v>0.33</v>
      </c>
    </row>
    <row r="408" spans="1:9" x14ac:dyDescent="0.35">
      <c r="B408" s="4" t="s">
        <v>13</v>
      </c>
      <c r="C408" s="4" t="s">
        <v>174</v>
      </c>
      <c r="D408" s="4">
        <v>0.23</v>
      </c>
      <c r="E408" s="4">
        <v>0.25</v>
      </c>
      <c r="H408" s="4">
        <f>E408</f>
        <v>0.25</v>
      </c>
      <c r="I408" s="4">
        <f>ROUND(E408+0.33*ABS(E408),2)</f>
        <v>0.33</v>
      </c>
    </row>
    <row r="410" spans="1:9" x14ac:dyDescent="0.35">
      <c r="A410" s="2" t="s">
        <v>238</v>
      </c>
      <c r="G410" s="3" t="s">
        <v>239</v>
      </c>
    </row>
    <row r="411" spans="1:9" x14ac:dyDescent="0.35">
      <c r="B411" s="4" t="s">
        <v>13</v>
      </c>
      <c r="C411" s="4" t="s">
        <v>240</v>
      </c>
      <c r="D411" s="4">
        <v>10</v>
      </c>
      <c r="E411" s="4">
        <v>10</v>
      </c>
      <c r="H411" s="4">
        <f>E411</f>
        <v>10</v>
      </c>
      <c r="I411" s="4">
        <f>ROUND(E411+0.33*ABS(E411),0)</f>
        <v>13</v>
      </c>
    </row>
    <row r="412" spans="1:9" x14ac:dyDescent="0.35">
      <c r="B412" s="4" t="s">
        <v>16</v>
      </c>
      <c r="C412" s="4" t="s">
        <v>241</v>
      </c>
      <c r="D412" s="5" t="s">
        <v>37</v>
      </c>
      <c r="H412" s="5" t="str">
        <f>D412</f>
        <v>{"flag": true}</v>
      </c>
    </row>
    <row r="413" spans="1:9" x14ac:dyDescent="0.35">
      <c r="B413" s="4" t="s">
        <v>16</v>
      </c>
      <c r="C413" s="4" t="s">
        <v>242</v>
      </c>
      <c r="D413" s="5" t="s">
        <v>37</v>
      </c>
      <c r="H413" s="5" t="str">
        <f>D413</f>
        <v>{"flag": true}</v>
      </c>
    </row>
    <row r="414" spans="1:9" x14ac:dyDescent="0.35">
      <c r="B414" s="4" t="s">
        <v>16</v>
      </c>
      <c r="C414" s="4" t="s">
        <v>243</v>
      </c>
      <c r="D414" s="5" t="s">
        <v>37</v>
      </c>
      <c r="H414" s="5" t="str">
        <f>D414</f>
        <v>{"flag": true}</v>
      </c>
    </row>
    <row r="415" spans="1:9" x14ac:dyDescent="0.35">
      <c r="B415" s="4" t="s">
        <v>16</v>
      </c>
      <c r="C415" s="4" t="s">
        <v>244</v>
      </c>
      <c r="D415" s="5" t="s">
        <v>37</v>
      </c>
      <c r="H415" s="5" t="str">
        <f>D415</f>
        <v>{"flag": true}</v>
      </c>
    </row>
    <row r="416" spans="1:9" x14ac:dyDescent="0.35">
      <c r="B416" s="4" t="s">
        <v>16</v>
      </c>
      <c r="C416" s="4" t="s">
        <v>245</v>
      </c>
      <c r="D416" s="5" t="s">
        <v>37</v>
      </c>
      <c r="H416" s="5" t="str">
        <f>D416</f>
        <v>{"flag": true}</v>
      </c>
    </row>
    <row r="418" spans="1:9" x14ac:dyDescent="0.35">
      <c r="A418" s="2" t="s">
        <v>246</v>
      </c>
      <c r="G418" s="3" t="s">
        <v>247</v>
      </c>
    </row>
    <row r="419" spans="1:9" x14ac:dyDescent="0.35">
      <c r="B419" s="4" t="s">
        <v>13</v>
      </c>
      <c r="C419" s="4" t="s">
        <v>240</v>
      </c>
      <c r="D419" s="4">
        <v>10</v>
      </c>
      <c r="E419" s="4">
        <v>20</v>
      </c>
      <c r="H419" s="4">
        <f>E419</f>
        <v>20</v>
      </c>
      <c r="I419" s="4">
        <f>ROUND(E419+0.33*ABS(E419),0)</f>
        <v>27</v>
      </c>
    </row>
    <row r="420" spans="1:9" x14ac:dyDescent="0.35">
      <c r="B420" s="4" t="s">
        <v>16</v>
      </c>
      <c r="C420" s="4" t="s">
        <v>248</v>
      </c>
      <c r="D420" s="5" t="s">
        <v>249</v>
      </c>
      <c r="H420" s="5" t="str">
        <f>D420</f>
        <v>{"tileEntityGroupId": "the_vault:chest", "displayName": "Chests", "manaGenerationChance": {"min": 0.2, "max": 0.6, "step": 0.01}, "manaGenerated": {"min": 1, "max": 3, "step": 1}}</v>
      </c>
    </row>
    <row r="422" spans="1:9" x14ac:dyDescent="0.35">
      <c r="A422" s="2" t="s">
        <v>250</v>
      </c>
      <c r="G422" s="3" t="s">
        <v>251</v>
      </c>
    </row>
    <row r="423" spans="1:9" x14ac:dyDescent="0.35">
      <c r="B423" s="4" t="s">
        <v>13</v>
      </c>
      <c r="C423" s="4" t="s">
        <v>240</v>
      </c>
      <c r="D423" s="4">
        <v>5</v>
      </c>
      <c r="E423" s="4">
        <v>15</v>
      </c>
      <c r="H423" s="4">
        <f>E423</f>
        <v>15</v>
      </c>
      <c r="I423" s="4">
        <f>ROUND(E423+0.33*ABS(E423),0)</f>
        <v>20</v>
      </c>
    </row>
    <row r="424" spans="1:9" x14ac:dyDescent="0.35">
      <c r="B424" s="4" t="s">
        <v>16</v>
      </c>
      <c r="C424" s="4" t="s">
        <v>252</v>
      </c>
      <c r="D424" s="5" t="s">
        <v>37</v>
      </c>
      <c r="H424" s="5" t="str">
        <f>D424</f>
        <v>{"flag": true}</v>
      </c>
    </row>
    <row r="425" spans="1:9" x14ac:dyDescent="0.35">
      <c r="B425" s="4" t="s">
        <v>16</v>
      </c>
      <c r="C425" s="4" t="s">
        <v>253</v>
      </c>
      <c r="D425" s="5" t="s">
        <v>37</v>
      </c>
      <c r="H425" s="5" t="str">
        <f>D425</f>
        <v>{"flag": true}</v>
      </c>
    </row>
    <row r="426" spans="1:9" x14ac:dyDescent="0.35">
      <c r="B426" s="4" t="s">
        <v>16</v>
      </c>
      <c r="C426" s="4" t="s">
        <v>254</v>
      </c>
      <c r="D426" s="5" t="s">
        <v>37</v>
      </c>
      <c r="H426" s="5" t="str">
        <f>D426</f>
        <v>{"flag": true}</v>
      </c>
    </row>
    <row r="427" spans="1:9" x14ac:dyDescent="0.35">
      <c r="B427" s="4" t="s">
        <v>16</v>
      </c>
      <c r="C427" s="4" t="s">
        <v>255</v>
      </c>
      <c r="D427" s="5" t="s">
        <v>37</v>
      </c>
      <c r="H427" s="5" t="str">
        <f>D427</f>
        <v>{"flag": true}</v>
      </c>
    </row>
    <row r="429" spans="1:9" x14ac:dyDescent="0.35">
      <c r="A429" s="2" t="s">
        <v>256</v>
      </c>
      <c r="G429" s="3" t="s">
        <v>257</v>
      </c>
    </row>
    <row r="430" spans="1:9" x14ac:dyDescent="0.35">
      <c r="B430" s="4" t="s">
        <v>13</v>
      </c>
      <c r="C430" s="4" t="s">
        <v>240</v>
      </c>
      <c r="D430" s="4">
        <v>10</v>
      </c>
      <c r="E430" s="4">
        <v>10</v>
      </c>
      <c r="H430" s="4">
        <f>E430</f>
        <v>10</v>
      </c>
      <c r="I430" s="4">
        <f>ROUND(E430+0.33*ABS(E430),0)</f>
        <v>13</v>
      </c>
    </row>
    <row r="431" spans="1:9" x14ac:dyDescent="0.35">
      <c r="B431" s="4" t="s">
        <v>18</v>
      </c>
      <c r="C431" s="4" t="s">
        <v>258</v>
      </c>
      <c r="D431" s="5" t="s">
        <v>259</v>
      </c>
      <c r="H431" s="5" t="str">
        <f>D431</f>
        <v>{"abilityId": "Nova_Slow", "tileEntityGroupId": "the_vault:chest", "displayName": "Omega Chest", "chance": {"min": 0.05, "max": 0.2, "step": 0.05}, "level": {"min": 4, "max": 8, "step": 1}}</v>
      </c>
    </row>
    <row r="433" spans="1:9" x14ac:dyDescent="0.35">
      <c r="A433" s="2" t="s">
        <v>260</v>
      </c>
      <c r="G433" s="3" t="s">
        <v>261</v>
      </c>
    </row>
    <row r="434" spans="1:9" x14ac:dyDescent="0.35">
      <c r="B434" s="4" t="s">
        <v>13</v>
      </c>
      <c r="C434" s="4" t="s">
        <v>240</v>
      </c>
      <c r="D434" s="4">
        <v>20</v>
      </c>
      <c r="E434" s="4">
        <v>35</v>
      </c>
      <c r="H434" s="4">
        <f>E434</f>
        <v>35</v>
      </c>
      <c r="I434" s="4">
        <f>ROUND(E434+0.33*ABS(E434),0)</f>
        <v>47</v>
      </c>
    </row>
    <row r="435" spans="1:9" x14ac:dyDescent="0.35">
      <c r="B435" s="4" t="s">
        <v>16</v>
      </c>
      <c r="C435" s="4" t="s">
        <v>262</v>
      </c>
      <c r="D435" s="5" t="s">
        <v>37</v>
      </c>
      <c r="H435" s="5" t="str">
        <f>D435</f>
        <v>{"flag": true}</v>
      </c>
    </row>
    <row r="437" spans="1:9" x14ac:dyDescent="0.35">
      <c r="A437" s="2" t="s">
        <v>263</v>
      </c>
      <c r="G437" s="3" t="s">
        <v>264</v>
      </c>
    </row>
    <row r="438" spans="1:9" x14ac:dyDescent="0.35">
      <c r="B438" s="4" t="s">
        <v>13</v>
      </c>
      <c r="C438" s="4" t="s">
        <v>240</v>
      </c>
      <c r="D438" s="4">
        <v>20</v>
      </c>
      <c r="E438" s="4">
        <v>35</v>
      </c>
      <c r="H438" s="4">
        <f>E438</f>
        <v>35</v>
      </c>
      <c r="I438" s="4">
        <f>ROUND(E438+0.33*ABS(E438),0)</f>
        <v>47</v>
      </c>
    </row>
    <row r="439" spans="1:9" x14ac:dyDescent="0.35">
      <c r="B439" s="4" t="s">
        <v>16</v>
      </c>
      <c r="C439" s="4" t="s">
        <v>265</v>
      </c>
      <c r="D439" s="4">
        <v>1</v>
      </c>
      <c r="E439" s="4">
        <v>1</v>
      </c>
      <c r="H439" s="4">
        <f>E439</f>
        <v>1</v>
      </c>
      <c r="I439" s="4">
        <f>ROUND(E439+0.33*ABS(E439),2)</f>
        <v>1.33</v>
      </c>
    </row>
    <row r="441" spans="1:9" x14ac:dyDescent="0.35">
      <c r="A441" s="2" t="s">
        <v>266</v>
      </c>
      <c r="G441" s="3" t="s">
        <v>267</v>
      </c>
    </row>
    <row r="442" spans="1:9" x14ac:dyDescent="0.35">
      <c r="B442" s="4" t="s">
        <v>13</v>
      </c>
      <c r="C442" s="4" t="s">
        <v>240</v>
      </c>
      <c r="D442" s="4">
        <v>5</v>
      </c>
      <c r="E442" s="4">
        <v>5</v>
      </c>
      <c r="H442" s="4">
        <f>E442</f>
        <v>5</v>
      </c>
      <c r="I442" s="4">
        <f>ROUND(E442+0.33*ABS(E442),0)</f>
        <v>7</v>
      </c>
    </row>
    <row r="443" spans="1:9" x14ac:dyDescent="0.35">
      <c r="B443" s="4" t="s">
        <v>16</v>
      </c>
      <c r="C443" s="4" t="s">
        <v>268</v>
      </c>
      <c r="D443" s="5" t="s">
        <v>37</v>
      </c>
      <c r="H443" s="5" t="str">
        <f>D443</f>
        <v>{"flag": true}</v>
      </c>
    </row>
    <row r="445" spans="1:9" x14ac:dyDescent="0.35">
      <c r="A445" s="2" t="s">
        <v>269</v>
      </c>
      <c r="G445" s="3" t="s">
        <v>270</v>
      </c>
    </row>
    <row r="446" spans="1:9" x14ac:dyDescent="0.35">
      <c r="B446" s="4" t="s">
        <v>11</v>
      </c>
      <c r="C446" s="4" t="s">
        <v>12</v>
      </c>
      <c r="D446" s="4">
        <v>23401</v>
      </c>
      <c r="E446" s="4">
        <v>30000</v>
      </c>
      <c r="H446" s="4">
        <f>E446</f>
        <v>30000</v>
      </c>
      <c r="I446" s="4">
        <f>ROUND(E446+0.33*ABS(E446),0)</f>
        <v>39900</v>
      </c>
    </row>
    <row r="447" spans="1:9" x14ac:dyDescent="0.35">
      <c r="B447" s="4" t="s">
        <v>13</v>
      </c>
      <c r="C447" s="4" t="s">
        <v>101</v>
      </c>
      <c r="D447" s="4">
        <v>20.100000000000001</v>
      </c>
      <c r="E447" s="4">
        <v>25</v>
      </c>
      <c r="H447" s="4">
        <f>E447</f>
        <v>25</v>
      </c>
      <c r="I447" s="4">
        <f>ROUND(E447+0.33*ABS(E447),2)</f>
        <v>33.25</v>
      </c>
    </row>
    <row r="448" spans="1:9" x14ac:dyDescent="0.35">
      <c r="B448" s="4" t="s">
        <v>13</v>
      </c>
      <c r="C448" s="4" t="s">
        <v>102</v>
      </c>
      <c r="D448" s="4">
        <v>0.21</v>
      </c>
      <c r="E448" s="4">
        <v>0.25</v>
      </c>
      <c r="H448" s="4">
        <f>E448</f>
        <v>0.25</v>
      </c>
      <c r="I448" s="4">
        <f>ROUND(E448+0.33*ABS(E448),2)</f>
        <v>0.33</v>
      </c>
    </row>
    <row r="449" spans="1:9" x14ac:dyDescent="0.35">
      <c r="B449" s="4" t="s">
        <v>16</v>
      </c>
      <c r="C449" s="4" t="s">
        <v>271</v>
      </c>
      <c r="D449" s="4">
        <v>0.21</v>
      </c>
      <c r="E449" s="4">
        <v>0.25</v>
      </c>
      <c r="H449" s="4">
        <f>E449</f>
        <v>0.25</v>
      </c>
      <c r="I449" s="4">
        <f>ROUND(E449+0.33*ABS(E449),2)</f>
        <v>0.33</v>
      </c>
    </row>
    <row r="450" spans="1:9" x14ac:dyDescent="0.35">
      <c r="B450" s="4" t="s">
        <v>18</v>
      </c>
      <c r="C450" s="4" t="s">
        <v>272</v>
      </c>
      <c r="D450" s="4">
        <v>0.2</v>
      </c>
      <c r="E450" s="4">
        <v>0.5</v>
      </c>
      <c r="H450" s="4">
        <f>E450</f>
        <v>0.5</v>
      </c>
      <c r="I450" s="4">
        <f>ROUND(E450+0.33*ABS(E450),2)</f>
        <v>0.67</v>
      </c>
    </row>
    <row r="452" spans="1:9" x14ac:dyDescent="0.35">
      <c r="A452" s="2" t="s">
        <v>273</v>
      </c>
      <c r="G452" s="3" t="s">
        <v>274</v>
      </c>
    </row>
    <row r="453" spans="1:9" x14ac:dyDescent="0.35">
      <c r="B453" s="4" t="s">
        <v>11</v>
      </c>
      <c r="C453" s="4" t="s">
        <v>12</v>
      </c>
      <c r="D453" s="4">
        <v>23401</v>
      </c>
      <c r="E453" s="4">
        <v>30000</v>
      </c>
      <c r="H453" s="4">
        <f>E453</f>
        <v>30000</v>
      </c>
      <c r="I453" s="4">
        <f>ROUND(E453+0.33*ABS(E453),0)</f>
        <v>39900</v>
      </c>
    </row>
    <row r="454" spans="1:9" x14ac:dyDescent="0.35">
      <c r="B454" s="4" t="s">
        <v>13</v>
      </c>
      <c r="C454" s="4" t="s">
        <v>101</v>
      </c>
      <c r="D454" s="4">
        <v>20.100000000000001</v>
      </c>
      <c r="E454" s="4">
        <v>25</v>
      </c>
      <c r="H454" s="4">
        <f>E454</f>
        <v>25</v>
      </c>
      <c r="I454" s="4">
        <f>ROUND(E454+0.33*ABS(E454),2)</f>
        <v>33.25</v>
      </c>
    </row>
    <row r="455" spans="1:9" x14ac:dyDescent="0.35">
      <c r="B455" s="4" t="s">
        <v>13</v>
      </c>
      <c r="C455" s="4" t="s">
        <v>275</v>
      </c>
      <c r="D455" s="5" t="s">
        <v>37</v>
      </c>
      <c r="H455" s="5" t="str">
        <f>D455</f>
        <v>{"flag": true}</v>
      </c>
    </row>
    <row r="456" spans="1:9" x14ac:dyDescent="0.35">
      <c r="B456" s="4" t="s">
        <v>16</v>
      </c>
      <c r="C456" s="4" t="s">
        <v>276</v>
      </c>
      <c r="D456" s="5" t="s">
        <v>277</v>
      </c>
      <c r="H456" s="5" t="str">
        <f>D456</f>
        <v>{"talentKey": "Prime_Amplification", "levelChange": 1}</v>
      </c>
    </row>
    <row r="457" spans="1:9" x14ac:dyDescent="0.35">
      <c r="B457" s="4" t="s">
        <v>16</v>
      </c>
      <c r="C457" s="4" t="s">
        <v>41</v>
      </c>
      <c r="D457" s="5" t="s">
        <v>278</v>
      </c>
      <c r="H457" s="5" t="str">
        <f>D457</f>
        <v>{"abilityKey": "Empower", "levelChange": 1}</v>
      </c>
    </row>
    <row r="458" spans="1:9" x14ac:dyDescent="0.35">
      <c r="B458" s="4" t="s">
        <v>16</v>
      </c>
      <c r="C458" s="4" t="s">
        <v>41</v>
      </c>
      <c r="D458" s="5" t="s">
        <v>279</v>
      </c>
      <c r="H458" s="5" t="str">
        <f>D458</f>
        <v>{"abilityKey": "Nova", "levelChange": 1}</v>
      </c>
    </row>
    <row r="459" spans="1:9" x14ac:dyDescent="0.35">
      <c r="B459" s="4" t="s">
        <v>18</v>
      </c>
      <c r="C459" s="4" t="s">
        <v>43</v>
      </c>
      <c r="D459" s="4">
        <v>0.17</v>
      </c>
      <c r="E459" s="4">
        <v>0.2</v>
      </c>
      <c r="H459" s="4">
        <f>E459</f>
        <v>0.2</v>
      </c>
      <c r="I459" s="4">
        <f>ROUND(E459+0.33*ABS(E459),2)</f>
        <v>0.27</v>
      </c>
    </row>
    <row r="460" spans="1:9" x14ac:dyDescent="0.35">
      <c r="B460" s="4" t="s">
        <v>18</v>
      </c>
      <c r="C460" s="4" t="s">
        <v>51</v>
      </c>
      <c r="D460" s="4">
        <v>0.16</v>
      </c>
      <c r="E460" s="4">
        <v>0.2</v>
      </c>
      <c r="H460" s="4">
        <f>E460</f>
        <v>0.2</v>
      </c>
      <c r="I460" s="4">
        <f>ROUND(E460+0.33*ABS(E460),2)</f>
        <v>0.27</v>
      </c>
    </row>
    <row r="461" spans="1:9" x14ac:dyDescent="0.35">
      <c r="B461" s="4" t="s">
        <v>18</v>
      </c>
      <c r="C461" s="4" t="s">
        <v>118</v>
      </c>
      <c r="D461" s="4">
        <v>0.81</v>
      </c>
      <c r="E461" s="4">
        <v>1</v>
      </c>
      <c r="H461" s="4">
        <f>E461</f>
        <v>1</v>
      </c>
      <c r="I461" s="4">
        <f>ROUND(E461+0.33*ABS(E461),2)</f>
        <v>1.33</v>
      </c>
    </row>
    <row r="463" spans="1:9" x14ac:dyDescent="0.35">
      <c r="A463" s="2" t="s">
        <v>280</v>
      </c>
      <c r="G463" s="3" t="s">
        <v>281</v>
      </c>
    </row>
    <row r="464" spans="1:9" x14ac:dyDescent="0.35">
      <c r="B464" s="4" t="s">
        <v>11</v>
      </c>
      <c r="C464" s="4" t="s">
        <v>12</v>
      </c>
      <c r="D464" s="4">
        <v>23401</v>
      </c>
      <c r="E464" s="4">
        <v>30000</v>
      </c>
      <c r="H464" s="4">
        <f>E464</f>
        <v>30000</v>
      </c>
      <c r="I464" s="4">
        <f>ROUND(E464+0.33*ABS(E464),0)</f>
        <v>39900</v>
      </c>
    </row>
    <row r="465" spans="1:9" x14ac:dyDescent="0.35">
      <c r="B465" s="4" t="s">
        <v>13</v>
      </c>
      <c r="C465" s="4" t="s">
        <v>101</v>
      </c>
      <c r="D465" s="4">
        <v>20.100000000000001</v>
      </c>
      <c r="E465" s="4">
        <v>25</v>
      </c>
      <c r="H465" s="4">
        <f>E465</f>
        <v>25</v>
      </c>
      <c r="I465" s="4">
        <f>ROUND(E465+0.33*ABS(E465),2)</f>
        <v>33.25</v>
      </c>
    </row>
    <row r="466" spans="1:9" x14ac:dyDescent="0.35">
      <c r="B466" s="4" t="s">
        <v>13</v>
      </c>
      <c r="C466" s="4" t="s">
        <v>275</v>
      </c>
      <c r="D466" s="5" t="s">
        <v>37</v>
      </c>
      <c r="H466" s="5" t="str">
        <f>D466</f>
        <v>{"flag": true}</v>
      </c>
    </row>
    <row r="467" spans="1:9" x14ac:dyDescent="0.35">
      <c r="B467" s="4" t="s">
        <v>16</v>
      </c>
      <c r="C467" s="4" t="s">
        <v>282</v>
      </c>
      <c r="D467" s="4">
        <v>0.25</v>
      </c>
      <c r="E467" s="4">
        <v>0.25</v>
      </c>
      <c r="H467" s="4">
        <f>E467</f>
        <v>0.25</v>
      </c>
      <c r="I467" s="4">
        <f>ROUND(E467+0.33*ABS(E467),2)</f>
        <v>0.33</v>
      </c>
    </row>
    <row r="468" spans="1:9" x14ac:dyDescent="0.35">
      <c r="B468" s="4" t="s">
        <v>16</v>
      </c>
      <c r="C468" s="4" t="s">
        <v>57</v>
      </c>
      <c r="D468" s="4">
        <v>0.45</v>
      </c>
      <c r="E468" s="4">
        <v>0.65</v>
      </c>
      <c r="H468" s="4">
        <f>E468</f>
        <v>0.65</v>
      </c>
      <c r="I468" s="4">
        <f>ROUND(E468+0.33*ABS(E468),2)</f>
        <v>0.86</v>
      </c>
    </row>
    <row r="469" spans="1:9" x14ac:dyDescent="0.35">
      <c r="B469" s="4" t="s">
        <v>18</v>
      </c>
      <c r="C469" s="4" t="s">
        <v>283</v>
      </c>
      <c r="D469" s="4">
        <v>-0.3</v>
      </c>
      <c r="E469" s="4">
        <v>-0.15</v>
      </c>
      <c r="H469" s="4">
        <f>E469</f>
        <v>-0.15</v>
      </c>
      <c r="I469" s="4">
        <f>ROUND(E469+0.33*ABS(E469),2)</f>
        <v>-0.1</v>
      </c>
    </row>
    <row r="470" spans="1:9" x14ac:dyDescent="0.35">
      <c r="B470" s="4" t="s">
        <v>18</v>
      </c>
      <c r="C470" s="4" t="s">
        <v>111</v>
      </c>
      <c r="D470" s="4">
        <v>-0.3</v>
      </c>
      <c r="E470" s="4">
        <v>-0.15</v>
      </c>
      <c r="H470" s="4">
        <f>E470</f>
        <v>-0.15</v>
      </c>
      <c r="I470" s="4">
        <f>ROUND(E470+0.33*ABS(E470),2)</f>
        <v>-0.1</v>
      </c>
    </row>
    <row r="472" spans="1:9" x14ac:dyDescent="0.35">
      <c r="A472" s="2" t="s">
        <v>284</v>
      </c>
      <c r="G472" s="3" t="s">
        <v>285</v>
      </c>
    </row>
    <row r="473" spans="1:9" x14ac:dyDescent="0.35">
      <c r="B473" s="4" t="s">
        <v>11</v>
      </c>
      <c r="C473" s="4" t="s">
        <v>12</v>
      </c>
      <c r="D473" s="4">
        <v>23401</v>
      </c>
      <c r="E473" s="4">
        <v>30000</v>
      </c>
      <c r="H473" s="4">
        <f>E473</f>
        <v>30000</v>
      </c>
      <c r="I473" s="4">
        <f>ROUND(E473+0.33*ABS(E473),0)</f>
        <v>39900</v>
      </c>
    </row>
    <row r="474" spans="1:9" x14ac:dyDescent="0.35">
      <c r="B474" s="4" t="s">
        <v>13</v>
      </c>
      <c r="C474" s="4" t="s">
        <v>101</v>
      </c>
      <c r="D474" s="4">
        <v>20.100000000000001</v>
      </c>
      <c r="E474" s="4">
        <v>25</v>
      </c>
      <c r="H474" s="4">
        <f>E474</f>
        <v>25</v>
      </c>
      <c r="I474" s="4">
        <f>ROUND(E474+0.33*ABS(E474),2)</f>
        <v>33.25</v>
      </c>
    </row>
    <row r="475" spans="1:9" x14ac:dyDescent="0.35">
      <c r="B475" s="4" t="s">
        <v>13</v>
      </c>
      <c r="C475" s="4" t="s">
        <v>275</v>
      </c>
      <c r="D475" s="5" t="s">
        <v>37</v>
      </c>
      <c r="H475" s="5" t="str">
        <f>D475</f>
        <v>{"flag": true}</v>
      </c>
    </row>
    <row r="476" spans="1:9" x14ac:dyDescent="0.35">
      <c r="B476" s="4" t="s">
        <v>16</v>
      </c>
      <c r="C476" s="4" t="s">
        <v>111</v>
      </c>
      <c r="D476" s="4">
        <v>1.25</v>
      </c>
      <c r="E476" s="4">
        <v>2</v>
      </c>
      <c r="H476" s="4">
        <f>E476</f>
        <v>2</v>
      </c>
      <c r="I476" s="4">
        <f>ROUND(E476+0.33*ABS(E476),2)</f>
        <v>2.66</v>
      </c>
    </row>
    <row r="477" spans="1:9" x14ac:dyDescent="0.35">
      <c r="B477" s="4" t="s">
        <v>16</v>
      </c>
      <c r="C477" s="4" t="s">
        <v>283</v>
      </c>
      <c r="D477" s="4">
        <v>1.25</v>
      </c>
      <c r="E477" s="4">
        <v>2</v>
      </c>
      <c r="H477" s="4">
        <f>E477</f>
        <v>2</v>
      </c>
      <c r="I477" s="4">
        <f>ROUND(E477+0.33*ABS(E477),2)</f>
        <v>2.66</v>
      </c>
    </row>
    <row r="478" spans="1:9" x14ac:dyDescent="0.35">
      <c r="B478" s="4" t="s">
        <v>16</v>
      </c>
      <c r="C478" s="4" t="s">
        <v>215</v>
      </c>
      <c r="D478" s="5" t="s">
        <v>286</v>
      </c>
      <c r="H478" s="5" t="str">
        <f>D478</f>
        <v>{"effectKey": "minecraft:luck", "amplifier": 1}</v>
      </c>
    </row>
    <row r="479" spans="1:9" x14ac:dyDescent="0.35">
      <c r="B479" s="4" t="s">
        <v>18</v>
      </c>
      <c r="C479" s="4" t="s">
        <v>282</v>
      </c>
      <c r="D479" s="4">
        <v>-0.5</v>
      </c>
      <c r="E479" s="4">
        <v>-0.5</v>
      </c>
      <c r="H479" s="4">
        <f>E479</f>
        <v>-0.5</v>
      </c>
      <c r="I479" s="4">
        <f>ROUND(E479+0.33*ABS(E479),2)</f>
        <v>-0.34</v>
      </c>
    </row>
    <row r="480" spans="1:9" x14ac:dyDescent="0.35">
      <c r="B480" s="4" t="s">
        <v>18</v>
      </c>
      <c r="C480" s="4" t="s">
        <v>287</v>
      </c>
      <c r="D480" s="4">
        <v>-0.5</v>
      </c>
      <c r="E480" s="4">
        <v>-0.5</v>
      </c>
      <c r="H480" s="4">
        <f>E480</f>
        <v>-0.5</v>
      </c>
      <c r="I480" s="4">
        <f>ROUND(E480+0.33*ABS(E480),2)</f>
        <v>-0.34</v>
      </c>
    </row>
    <row r="482" spans="1:9" x14ac:dyDescent="0.35">
      <c r="A482" s="2" t="s">
        <v>288</v>
      </c>
      <c r="G482" s="3" t="s">
        <v>289</v>
      </c>
    </row>
    <row r="483" spans="1:9" x14ac:dyDescent="0.35">
      <c r="B483" s="4" t="s">
        <v>11</v>
      </c>
      <c r="C483" s="4" t="s">
        <v>12</v>
      </c>
      <c r="D483" s="4">
        <v>23401</v>
      </c>
      <c r="E483" s="4">
        <v>30000</v>
      </c>
      <c r="H483" s="4">
        <f>E483</f>
        <v>30000</v>
      </c>
      <c r="I483" s="4">
        <f>ROUND(E483+0.33*ABS(E483),0)</f>
        <v>39900</v>
      </c>
    </row>
    <row r="484" spans="1:9" x14ac:dyDescent="0.35">
      <c r="B484" s="4" t="s">
        <v>13</v>
      </c>
      <c r="C484" s="4" t="s">
        <v>101</v>
      </c>
      <c r="D484" s="4">
        <v>20.100000000000001</v>
      </c>
      <c r="E484" s="4">
        <v>25</v>
      </c>
      <c r="H484" s="4">
        <f>E484</f>
        <v>25</v>
      </c>
      <c r="I484" s="4">
        <f>ROUND(E484+0.33*ABS(E484),2)</f>
        <v>33.25</v>
      </c>
    </row>
    <row r="485" spans="1:9" x14ac:dyDescent="0.35">
      <c r="B485" s="4" t="s">
        <v>13</v>
      </c>
      <c r="C485" s="4" t="s">
        <v>275</v>
      </c>
      <c r="D485" s="5" t="s">
        <v>37</v>
      </c>
      <c r="H485" s="5" t="str">
        <f>D485</f>
        <v>{"flag": true}</v>
      </c>
    </row>
    <row r="486" spans="1:9" x14ac:dyDescent="0.35">
      <c r="B486" s="4" t="s">
        <v>16</v>
      </c>
      <c r="C486" s="4" t="s">
        <v>122</v>
      </c>
      <c r="D486" s="4">
        <v>0.5</v>
      </c>
      <c r="E486" s="4">
        <v>0.55000000000000004</v>
      </c>
      <c r="H486" s="4">
        <f>E486</f>
        <v>0.55000000000000004</v>
      </c>
      <c r="I486" s="4">
        <f>ROUND(E486+0.33*ABS(E486),2)</f>
        <v>0.73</v>
      </c>
    </row>
    <row r="487" spans="1:9" x14ac:dyDescent="0.35">
      <c r="B487" s="4" t="s">
        <v>16</v>
      </c>
      <c r="C487" s="4" t="s">
        <v>290</v>
      </c>
      <c r="D487" s="4">
        <v>0.04</v>
      </c>
      <c r="E487" s="4">
        <v>0.04</v>
      </c>
      <c r="H487" s="4">
        <f>E487</f>
        <v>0.04</v>
      </c>
      <c r="I487" s="4">
        <f>ROUND(E487+0.33*ABS(E487),2)</f>
        <v>0.05</v>
      </c>
    </row>
    <row r="488" spans="1:9" x14ac:dyDescent="0.35">
      <c r="B488" s="4" t="s">
        <v>18</v>
      </c>
      <c r="C488" s="4" t="s">
        <v>291</v>
      </c>
      <c r="D488" s="4">
        <v>-0.75</v>
      </c>
      <c r="E488" s="4">
        <v>-1</v>
      </c>
      <c r="H488" s="4">
        <f>E488</f>
        <v>-1</v>
      </c>
      <c r="I488" s="4">
        <f>ROUND(E488+0.33*ABS(E488),2)</f>
        <v>-0.67</v>
      </c>
    </row>
    <row r="489" spans="1:9" x14ac:dyDescent="0.35">
      <c r="B489" s="4" t="s">
        <v>18</v>
      </c>
      <c r="C489" s="4" t="s">
        <v>118</v>
      </c>
      <c r="D489" s="4">
        <v>-0.75</v>
      </c>
      <c r="E489" s="4">
        <v>-1</v>
      </c>
      <c r="H489" s="4">
        <f>E489</f>
        <v>-1</v>
      </c>
      <c r="I489" s="4">
        <f>ROUND(E489+0.33*ABS(E489),2)</f>
        <v>-0.67</v>
      </c>
    </row>
    <row r="490" spans="1:9" x14ac:dyDescent="0.35">
      <c r="B490" s="4" t="s">
        <v>18</v>
      </c>
      <c r="C490" s="4" t="s">
        <v>215</v>
      </c>
      <c r="D490" s="5" t="s">
        <v>292</v>
      </c>
      <c r="H490" s="5" t="str">
        <f>D490</f>
        <v>{"effectKey": "minecraft:unluck", "amplifier": 1}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Hayes</cp:lastModifiedBy>
  <dcterms:created xsi:type="dcterms:W3CDTF">2026-08-06T07:18:16Z</dcterms:created>
  <dcterms:modified xsi:type="dcterms:W3CDTF">2026-08-06T07:18:29Z</dcterms:modified>
</cp:coreProperties>
</file>